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0" documentId="8_{3AE12341-DD4C-42F5-B070-BDC98AE6068C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Neurônio" sheetId="1" r:id="rId1"/>
    <sheet name="Treinament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2" l="1"/>
  <c r="D38" i="1"/>
  <c r="D33" i="1"/>
  <c r="D28" i="1"/>
  <c r="D23" i="1"/>
  <c r="D18" i="1"/>
  <c r="D13" i="1"/>
  <c r="D8" i="1"/>
  <c r="I9" i="2"/>
  <c r="I10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8" i="2"/>
  <c r="N57" i="2" l="1"/>
  <c r="J57" i="2"/>
  <c r="N56" i="2"/>
  <c r="J56" i="2"/>
  <c r="N55" i="2"/>
  <c r="J55" i="2"/>
  <c r="N54" i="2"/>
  <c r="J54" i="2"/>
  <c r="N53" i="2"/>
  <c r="J53" i="2"/>
  <c r="N52" i="2"/>
  <c r="J52" i="2"/>
  <c r="N51" i="2"/>
  <c r="J51" i="2"/>
  <c r="N50" i="2"/>
  <c r="J50" i="2"/>
  <c r="N49" i="2"/>
  <c r="J49" i="2"/>
  <c r="N48" i="2"/>
  <c r="J48" i="2"/>
  <c r="N47" i="2"/>
  <c r="J47" i="2"/>
  <c r="N46" i="2"/>
  <c r="J46" i="2"/>
  <c r="N45" i="2"/>
  <c r="J45" i="2"/>
  <c r="N44" i="2"/>
  <c r="J44" i="2"/>
  <c r="N43" i="2"/>
  <c r="J43" i="2"/>
  <c r="N42" i="2"/>
  <c r="J42" i="2"/>
  <c r="N41" i="2"/>
  <c r="J41" i="2"/>
  <c r="N40" i="2"/>
  <c r="J40" i="2"/>
  <c r="N39" i="2"/>
  <c r="J39" i="2"/>
  <c r="N38" i="2"/>
  <c r="J38" i="2"/>
  <c r="N37" i="2"/>
  <c r="J37" i="2"/>
  <c r="N36" i="2"/>
  <c r="J36" i="2"/>
  <c r="N35" i="2"/>
  <c r="J35" i="2"/>
  <c r="N34" i="2"/>
  <c r="J34" i="2"/>
  <c r="N33" i="2"/>
  <c r="J33" i="2"/>
  <c r="N32" i="2"/>
  <c r="J32" i="2"/>
  <c r="N31" i="2"/>
  <c r="J31" i="2"/>
  <c r="N30" i="2"/>
  <c r="J30" i="2"/>
  <c r="N29" i="2"/>
  <c r="J29" i="2"/>
  <c r="N28" i="2"/>
  <c r="J28" i="2"/>
  <c r="N27" i="2"/>
  <c r="J27" i="2"/>
  <c r="N26" i="2"/>
  <c r="J26" i="2"/>
  <c r="N25" i="2"/>
  <c r="J25" i="2"/>
  <c r="N24" i="2"/>
  <c r="J24" i="2"/>
  <c r="N23" i="2"/>
  <c r="J23" i="2"/>
  <c r="N22" i="2"/>
  <c r="J22" i="2"/>
  <c r="N21" i="2"/>
  <c r="J21" i="2"/>
  <c r="N20" i="2"/>
  <c r="J20" i="2"/>
  <c r="N19" i="2"/>
  <c r="J19" i="2"/>
  <c r="N18" i="2"/>
  <c r="J18" i="2"/>
  <c r="N17" i="2"/>
  <c r="J17" i="2"/>
  <c r="N16" i="2"/>
  <c r="J16" i="2"/>
  <c r="N15" i="2"/>
  <c r="J15" i="2"/>
  <c r="N14" i="2"/>
  <c r="J14" i="2"/>
  <c r="N13" i="2"/>
  <c r="J13" i="2"/>
  <c r="N12" i="2"/>
  <c r="J12" i="2"/>
  <c r="N11" i="2"/>
  <c r="J11" i="2"/>
  <c r="N10" i="2"/>
  <c r="J10" i="2"/>
  <c r="N9" i="2"/>
  <c r="J9" i="2"/>
  <c r="J8" i="2"/>
  <c r="Y23" i="1" s="1"/>
  <c r="N8" i="2"/>
  <c r="K57" i="2"/>
  <c r="L57" i="2"/>
  <c r="K56" i="2"/>
  <c r="L56" i="2"/>
  <c r="K55" i="2"/>
  <c r="L55" i="2"/>
  <c r="K54" i="2"/>
  <c r="L54" i="2"/>
  <c r="K53" i="2"/>
  <c r="L53" i="2"/>
  <c r="K52" i="2"/>
  <c r="L52" i="2"/>
  <c r="K51" i="2"/>
  <c r="L51" i="2"/>
  <c r="K50" i="2"/>
  <c r="L50" i="2"/>
  <c r="K49" i="2"/>
  <c r="L49" i="2"/>
  <c r="K48" i="2"/>
  <c r="L48" i="2"/>
  <c r="K47" i="2"/>
  <c r="L47" i="2"/>
  <c r="K46" i="2"/>
  <c r="L46" i="2"/>
  <c r="K45" i="2"/>
  <c r="L45" i="2"/>
  <c r="K44" i="2"/>
  <c r="L44" i="2"/>
  <c r="K43" i="2"/>
  <c r="L43" i="2"/>
  <c r="K42" i="2"/>
  <c r="L42" i="2"/>
  <c r="K41" i="2"/>
  <c r="L41" i="2"/>
  <c r="K40" i="2"/>
  <c r="L40" i="2"/>
  <c r="K39" i="2"/>
  <c r="L39" i="2"/>
  <c r="K38" i="2"/>
  <c r="L38" i="2"/>
  <c r="K37" i="2"/>
  <c r="L37" i="2"/>
  <c r="K36" i="2"/>
  <c r="L36" i="2"/>
  <c r="K35" i="2"/>
  <c r="L35" i="2"/>
  <c r="K34" i="2"/>
  <c r="L34" i="2"/>
  <c r="K33" i="2"/>
  <c r="L33" i="2"/>
  <c r="K32" i="2"/>
  <c r="L32" i="2"/>
  <c r="K31" i="2"/>
  <c r="L31" i="2"/>
  <c r="K30" i="2"/>
  <c r="L30" i="2"/>
  <c r="K29" i="2"/>
  <c r="L29" i="2"/>
  <c r="K28" i="2"/>
  <c r="L28" i="2"/>
  <c r="K27" i="2"/>
  <c r="L27" i="2"/>
  <c r="K26" i="2"/>
  <c r="L26" i="2"/>
  <c r="K25" i="2"/>
  <c r="L25" i="2"/>
  <c r="K24" i="2"/>
  <c r="L24" i="2"/>
  <c r="K23" i="2"/>
  <c r="L23" i="2"/>
  <c r="K22" i="2"/>
  <c r="L22" i="2"/>
  <c r="K21" i="2"/>
  <c r="L21" i="2"/>
  <c r="K20" i="2"/>
  <c r="L20" i="2"/>
  <c r="K19" i="2"/>
  <c r="L19" i="2"/>
  <c r="K18" i="2"/>
  <c r="L18" i="2"/>
  <c r="K17" i="2"/>
  <c r="L17" i="2"/>
  <c r="K16" i="2"/>
  <c r="L16" i="2"/>
  <c r="K15" i="2"/>
  <c r="L15" i="2"/>
  <c r="K14" i="2"/>
  <c r="L14" i="2"/>
  <c r="K13" i="2"/>
  <c r="L13" i="2"/>
  <c r="K12" i="2"/>
  <c r="L12" i="2"/>
  <c r="K11" i="2"/>
  <c r="L11" i="2"/>
  <c r="K10" i="2"/>
  <c r="L10" i="2"/>
  <c r="K9" i="2"/>
  <c r="L9" i="2"/>
  <c r="L8" i="2" l="1"/>
  <c r="K8" i="2"/>
  <c r="U9" i="2"/>
  <c r="T9" i="2"/>
  <c r="S9" i="2"/>
  <c r="R9" i="2"/>
  <c r="Q9" i="2"/>
  <c r="P9" i="2"/>
  <c r="O9" i="2"/>
  <c r="U10" i="2"/>
  <c r="T10" i="2"/>
  <c r="S10" i="2"/>
  <c r="R10" i="2"/>
  <c r="Q10" i="2"/>
  <c r="P10" i="2"/>
  <c r="O10" i="2"/>
  <c r="U11" i="2"/>
  <c r="T11" i="2"/>
  <c r="S11" i="2"/>
  <c r="R11" i="2"/>
  <c r="Q11" i="2"/>
  <c r="P11" i="2"/>
  <c r="O11" i="2"/>
  <c r="U12" i="2"/>
  <c r="T12" i="2"/>
  <c r="S12" i="2"/>
  <c r="R12" i="2"/>
  <c r="Q12" i="2"/>
  <c r="P12" i="2"/>
  <c r="O12" i="2"/>
  <c r="U13" i="2"/>
  <c r="T13" i="2"/>
  <c r="S13" i="2"/>
  <c r="R13" i="2"/>
  <c r="Q13" i="2"/>
  <c r="P13" i="2"/>
  <c r="O13" i="2"/>
  <c r="U14" i="2"/>
  <c r="T14" i="2"/>
  <c r="S14" i="2"/>
  <c r="R14" i="2"/>
  <c r="Q14" i="2"/>
  <c r="P14" i="2"/>
  <c r="O14" i="2"/>
  <c r="U15" i="2"/>
  <c r="T15" i="2"/>
  <c r="S15" i="2"/>
  <c r="R15" i="2"/>
  <c r="Q15" i="2"/>
  <c r="P15" i="2"/>
  <c r="O15" i="2"/>
  <c r="U16" i="2"/>
  <c r="T16" i="2"/>
  <c r="S16" i="2"/>
  <c r="R16" i="2"/>
  <c r="Q16" i="2"/>
  <c r="P16" i="2"/>
  <c r="O16" i="2"/>
  <c r="U17" i="2"/>
  <c r="T17" i="2"/>
  <c r="S17" i="2"/>
  <c r="R17" i="2"/>
  <c r="Q17" i="2"/>
  <c r="P17" i="2"/>
  <c r="O17" i="2"/>
  <c r="U18" i="2"/>
  <c r="T18" i="2"/>
  <c r="S18" i="2"/>
  <c r="R18" i="2"/>
  <c r="Q18" i="2"/>
  <c r="P18" i="2"/>
  <c r="O18" i="2"/>
  <c r="U19" i="2"/>
  <c r="T19" i="2"/>
  <c r="S19" i="2"/>
  <c r="R19" i="2"/>
  <c r="Q19" i="2"/>
  <c r="P19" i="2"/>
  <c r="O19" i="2"/>
  <c r="U20" i="2"/>
  <c r="T20" i="2"/>
  <c r="S20" i="2"/>
  <c r="R20" i="2"/>
  <c r="Q20" i="2"/>
  <c r="P20" i="2"/>
  <c r="O20" i="2"/>
  <c r="U21" i="2"/>
  <c r="T21" i="2"/>
  <c r="S21" i="2"/>
  <c r="R21" i="2"/>
  <c r="Q21" i="2"/>
  <c r="P21" i="2"/>
  <c r="O21" i="2"/>
  <c r="U22" i="2"/>
  <c r="T22" i="2"/>
  <c r="S22" i="2"/>
  <c r="R22" i="2"/>
  <c r="Q22" i="2"/>
  <c r="P22" i="2"/>
  <c r="O22" i="2"/>
  <c r="U23" i="2"/>
  <c r="T23" i="2"/>
  <c r="S23" i="2"/>
  <c r="R23" i="2"/>
  <c r="Q23" i="2"/>
  <c r="P23" i="2"/>
  <c r="O23" i="2"/>
  <c r="U24" i="2"/>
  <c r="T24" i="2"/>
  <c r="S24" i="2"/>
  <c r="R24" i="2"/>
  <c r="Q24" i="2"/>
  <c r="P24" i="2"/>
  <c r="O24" i="2"/>
  <c r="U25" i="2"/>
  <c r="T25" i="2"/>
  <c r="S25" i="2"/>
  <c r="R25" i="2"/>
  <c r="Q25" i="2"/>
  <c r="P25" i="2"/>
  <c r="O25" i="2"/>
  <c r="U26" i="2"/>
  <c r="T26" i="2"/>
  <c r="S26" i="2"/>
  <c r="R26" i="2"/>
  <c r="Q26" i="2"/>
  <c r="P26" i="2"/>
  <c r="O26" i="2"/>
  <c r="U27" i="2"/>
  <c r="T27" i="2"/>
  <c r="S27" i="2"/>
  <c r="R27" i="2"/>
  <c r="Q27" i="2"/>
  <c r="P27" i="2"/>
  <c r="O27" i="2"/>
  <c r="U28" i="2"/>
  <c r="T28" i="2"/>
  <c r="S28" i="2"/>
  <c r="R28" i="2"/>
  <c r="Q28" i="2"/>
  <c r="P28" i="2"/>
  <c r="O28" i="2"/>
  <c r="U29" i="2"/>
  <c r="T29" i="2"/>
  <c r="S29" i="2"/>
  <c r="R29" i="2"/>
  <c r="Q29" i="2"/>
  <c r="P29" i="2"/>
  <c r="O29" i="2"/>
  <c r="U30" i="2"/>
  <c r="T30" i="2"/>
  <c r="S30" i="2"/>
  <c r="R30" i="2"/>
  <c r="Q30" i="2"/>
  <c r="P30" i="2"/>
  <c r="O30" i="2"/>
  <c r="U31" i="2"/>
  <c r="T31" i="2"/>
  <c r="S31" i="2"/>
  <c r="R31" i="2"/>
  <c r="Q31" i="2"/>
  <c r="P31" i="2"/>
  <c r="O31" i="2"/>
  <c r="U32" i="2"/>
  <c r="T32" i="2"/>
  <c r="S32" i="2"/>
  <c r="R32" i="2"/>
  <c r="Q32" i="2"/>
  <c r="P32" i="2"/>
  <c r="O32" i="2"/>
  <c r="U33" i="2"/>
  <c r="T33" i="2"/>
  <c r="S33" i="2"/>
  <c r="R33" i="2"/>
  <c r="Q33" i="2"/>
  <c r="P33" i="2"/>
  <c r="O33" i="2"/>
  <c r="U34" i="2"/>
  <c r="T34" i="2"/>
  <c r="S34" i="2"/>
  <c r="R34" i="2"/>
  <c r="Q34" i="2"/>
  <c r="P34" i="2"/>
  <c r="O34" i="2"/>
  <c r="U35" i="2"/>
  <c r="T35" i="2"/>
  <c r="S35" i="2"/>
  <c r="R35" i="2"/>
  <c r="Q35" i="2"/>
  <c r="P35" i="2"/>
  <c r="O35" i="2"/>
  <c r="U36" i="2"/>
  <c r="T36" i="2"/>
  <c r="S36" i="2"/>
  <c r="R36" i="2"/>
  <c r="Q36" i="2"/>
  <c r="P36" i="2"/>
  <c r="O36" i="2"/>
  <c r="U37" i="2"/>
  <c r="T37" i="2"/>
  <c r="S37" i="2"/>
  <c r="R37" i="2"/>
  <c r="Q37" i="2"/>
  <c r="P37" i="2"/>
  <c r="O37" i="2"/>
  <c r="U38" i="2"/>
  <c r="T38" i="2"/>
  <c r="S38" i="2"/>
  <c r="R38" i="2"/>
  <c r="Q38" i="2"/>
  <c r="P38" i="2"/>
  <c r="O38" i="2"/>
  <c r="U39" i="2"/>
  <c r="T39" i="2"/>
  <c r="S39" i="2"/>
  <c r="R39" i="2"/>
  <c r="Q39" i="2"/>
  <c r="P39" i="2"/>
  <c r="O39" i="2"/>
  <c r="U40" i="2"/>
  <c r="T40" i="2"/>
  <c r="S40" i="2"/>
  <c r="R40" i="2"/>
  <c r="Q40" i="2"/>
  <c r="P40" i="2"/>
  <c r="O40" i="2"/>
  <c r="U41" i="2"/>
  <c r="T41" i="2"/>
  <c r="S41" i="2"/>
  <c r="R41" i="2"/>
  <c r="Q41" i="2"/>
  <c r="P41" i="2"/>
  <c r="O41" i="2"/>
  <c r="U42" i="2"/>
  <c r="T42" i="2"/>
  <c r="S42" i="2"/>
  <c r="R42" i="2"/>
  <c r="Q42" i="2"/>
  <c r="P42" i="2"/>
  <c r="O42" i="2"/>
  <c r="U43" i="2"/>
  <c r="T43" i="2"/>
  <c r="S43" i="2"/>
  <c r="R43" i="2"/>
  <c r="Q43" i="2"/>
  <c r="P43" i="2"/>
  <c r="O43" i="2"/>
  <c r="U44" i="2"/>
  <c r="T44" i="2"/>
  <c r="S44" i="2"/>
  <c r="R44" i="2"/>
  <c r="Q44" i="2"/>
  <c r="P44" i="2"/>
  <c r="O44" i="2"/>
  <c r="U45" i="2"/>
  <c r="T45" i="2"/>
  <c r="S45" i="2"/>
  <c r="R45" i="2"/>
  <c r="Q45" i="2"/>
  <c r="P45" i="2"/>
  <c r="O45" i="2"/>
  <c r="U46" i="2"/>
  <c r="T46" i="2"/>
  <c r="S46" i="2"/>
  <c r="R46" i="2"/>
  <c r="Q46" i="2"/>
  <c r="P46" i="2"/>
  <c r="O46" i="2"/>
  <c r="U47" i="2"/>
  <c r="T47" i="2"/>
  <c r="S47" i="2"/>
  <c r="R47" i="2"/>
  <c r="Q47" i="2"/>
  <c r="P47" i="2"/>
  <c r="O47" i="2"/>
  <c r="U48" i="2"/>
  <c r="T48" i="2"/>
  <c r="S48" i="2"/>
  <c r="R48" i="2"/>
  <c r="Q48" i="2"/>
  <c r="P48" i="2"/>
  <c r="O48" i="2"/>
  <c r="U49" i="2"/>
  <c r="T49" i="2"/>
  <c r="S49" i="2"/>
  <c r="R49" i="2"/>
  <c r="Q49" i="2"/>
  <c r="P49" i="2"/>
  <c r="O49" i="2"/>
  <c r="U50" i="2"/>
  <c r="T50" i="2"/>
  <c r="S50" i="2"/>
  <c r="R50" i="2"/>
  <c r="Q50" i="2"/>
  <c r="P50" i="2"/>
  <c r="O50" i="2"/>
  <c r="U51" i="2"/>
  <c r="T51" i="2"/>
  <c r="S51" i="2"/>
  <c r="R51" i="2"/>
  <c r="Q51" i="2"/>
  <c r="P51" i="2"/>
  <c r="O51" i="2"/>
  <c r="U52" i="2"/>
  <c r="T52" i="2"/>
  <c r="S52" i="2"/>
  <c r="R52" i="2"/>
  <c r="Q52" i="2"/>
  <c r="P52" i="2"/>
  <c r="O52" i="2"/>
  <c r="U53" i="2"/>
  <c r="T53" i="2"/>
  <c r="S53" i="2"/>
  <c r="R53" i="2"/>
  <c r="Q53" i="2"/>
  <c r="P53" i="2"/>
  <c r="O53" i="2"/>
  <c r="U54" i="2"/>
  <c r="T54" i="2"/>
  <c r="S54" i="2"/>
  <c r="R54" i="2"/>
  <c r="Q54" i="2"/>
  <c r="P54" i="2"/>
  <c r="O54" i="2"/>
  <c r="U55" i="2"/>
  <c r="T55" i="2"/>
  <c r="S55" i="2"/>
  <c r="R55" i="2"/>
  <c r="Q55" i="2"/>
  <c r="P55" i="2"/>
  <c r="O55" i="2"/>
  <c r="U56" i="2"/>
  <c r="T56" i="2"/>
  <c r="S56" i="2"/>
  <c r="R56" i="2"/>
  <c r="Q56" i="2"/>
  <c r="P56" i="2"/>
  <c r="O56" i="2"/>
  <c r="U57" i="2"/>
  <c r="T57" i="2"/>
  <c r="S57" i="2"/>
  <c r="R57" i="2"/>
  <c r="Q57" i="2"/>
  <c r="P57" i="2"/>
  <c r="O57" i="2"/>
  <c r="P8" i="2"/>
  <c r="Q8" i="2"/>
  <c r="R8" i="2"/>
  <c r="S8" i="2"/>
  <c r="T8" i="2"/>
  <c r="U8" i="2"/>
  <c r="O8" i="2"/>
</calcChain>
</file>

<file path=xl/sharedStrings.xml><?xml version="1.0" encoding="utf-8"?>
<sst xmlns="http://schemas.openxmlformats.org/spreadsheetml/2006/main" count="53" uniqueCount="53">
  <si>
    <t>RU: 5491035</t>
  </si>
  <si>
    <t>W 0</t>
  </si>
  <si>
    <t>W 1</t>
  </si>
  <si>
    <t>X1</t>
  </si>
  <si>
    <t>W 2</t>
  </si>
  <si>
    <t>X2</t>
  </si>
  <si>
    <t>W 3</t>
  </si>
  <si>
    <t>X3</t>
  </si>
  <si>
    <t>. d</t>
  </si>
  <si>
    <t>W 4</t>
  </si>
  <si>
    <t>o</t>
  </si>
  <si>
    <t>X4</t>
  </si>
  <si>
    <t>Saída</t>
  </si>
  <si>
    <t xml:space="preserve">  Ativador</t>
  </si>
  <si>
    <t>W 5</t>
  </si>
  <si>
    <t>X5</t>
  </si>
  <si>
    <t>W 6</t>
  </si>
  <si>
    <t>X6</t>
  </si>
  <si>
    <t>W 7</t>
  </si>
  <si>
    <t>X7</t>
  </si>
  <si>
    <t>X = Entradas</t>
  </si>
  <si>
    <t>W = Pesos</t>
  </si>
  <si>
    <t>Taxa de Aprendizado</t>
  </si>
  <si>
    <t>Pesos</t>
  </si>
  <si>
    <t>w1</t>
  </si>
  <si>
    <t>w2</t>
  </si>
  <si>
    <t>w3</t>
  </si>
  <si>
    <t>w4</t>
  </si>
  <si>
    <t>w5</t>
  </si>
  <si>
    <t>w6</t>
  </si>
  <si>
    <t>w7</t>
  </si>
  <si>
    <t>bias</t>
  </si>
  <si>
    <t>x1</t>
  </si>
  <si>
    <t>x2</t>
  </si>
  <si>
    <t>x3</t>
  </si>
  <si>
    <t>x4</t>
  </si>
  <si>
    <t>x5</t>
  </si>
  <si>
    <t>x6</t>
  </si>
  <si>
    <t>x7</t>
  </si>
  <si>
    <t>H</t>
  </si>
  <si>
    <t>Y</t>
  </si>
  <si>
    <t>C</t>
  </si>
  <si>
    <t>Atual</t>
  </si>
  <si>
    <t>Esperado</t>
  </si>
  <si>
    <t>Erro</t>
  </si>
  <si>
    <t>D1</t>
  </si>
  <si>
    <t>D2</t>
  </si>
  <si>
    <t>D3</t>
  </si>
  <si>
    <t>D4</t>
  </si>
  <si>
    <t>D5</t>
  </si>
  <si>
    <t>D6</t>
  </si>
  <si>
    <t>D7</t>
  </si>
  <si>
    <t>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</si>
</sst>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  <font>
      <sz val="28"/>
      <color theme="0"/>
      <name val="Aptos Narrow"/>
      <scheme val="minor"/>
    </font>
    <font>
      <sz val="11"/>
      <color theme="0"/>
      <name val="Aptos Narrow"/>
      <family val="2"/>
      <scheme val="minor"/>
    </font>
    <font>
      <sz val="12"/>
      <color theme="0"/>
      <name val="Arial"/>
    </font>
    <font>
      <sz val="16"/>
      <color theme="0"/>
      <name val="Aptos Narrow"/>
      <scheme val="minor"/>
    </font>
    <font>
      <b/>
      <sz val="11"/>
      <color theme="1"/>
      <name val="Arial"/>
    </font>
    <font>
      <b/>
      <sz val="11"/>
      <color rgb="FF000000"/>
      <name val="Arial"/>
    </font>
    <font>
      <b/>
      <sz val="20"/>
      <color rgb="FF000000"/>
      <name val="Arial"/>
    </font>
    <font>
      <sz val="20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4"/>
      <color rgb="FF92D05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0"/>
      <name val="Arial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153D64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/>
      <bottom/>
      <diagonal/>
    </border>
    <border>
      <left/>
      <right/>
      <top style="thin">
        <color rgb="FF00B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4" fillId="5" borderId="0" xfId="0" applyFont="1" applyFill="1" applyAlignment="1">
      <alignment horizontal="center" vertical="center"/>
    </xf>
    <xf numFmtId="0" fontId="0" fillId="0" borderId="3" xfId="0" applyBorder="1"/>
    <xf numFmtId="0" fontId="13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4" xfId="0" applyBorder="1"/>
    <xf numFmtId="2" fontId="12" fillId="0" borderId="4" xfId="0" applyNumberFormat="1" applyFont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215C98"/>
      <color rgb="FF153D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85725</xdr:rowOff>
    </xdr:from>
    <xdr:to>
      <xdr:col>7</xdr:col>
      <xdr:colOff>600075</xdr:colOff>
      <xdr:row>13</xdr:row>
      <xdr:rowOff>95250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22618750-72D9-4416-990E-A04653D445F1}"/>
            </a:ext>
            <a:ext uri="{147F2762-F138-4A5C-976F-8EAC2B608ADB}">
              <a16:predDERef xmlns:a16="http://schemas.microsoft.com/office/drawing/2014/main" pred="{A60E480C-DE0C-5AA2-B0DC-FCD2591C78F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92C0BB8F-591D-470C-AB7B-314F192E44A3}" end="{00000000-0000-0000-0000-000000000000}"/>
            </a:ext>
          </a:extLst>
        </xdr:cNvCxnSpPr>
      </xdr:nvCxnSpPr>
      <xdr:spPr>
        <a:xfrm flipV="1">
          <a:off x="3048000" y="2609850"/>
          <a:ext cx="181927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85725</xdr:rowOff>
    </xdr:from>
    <xdr:to>
      <xdr:col>7</xdr:col>
      <xdr:colOff>590550</xdr:colOff>
      <xdr:row>23</xdr:row>
      <xdr:rowOff>85725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7B179028-415D-49D9-8D7F-87C6C780052E}"/>
            </a:ext>
            <a:ext uri="{147F2762-F138-4A5C-976F-8EAC2B608ADB}">
              <a16:predDERef xmlns:a16="http://schemas.microsoft.com/office/drawing/2014/main" pred="{22618750-72D9-4416-990E-A04653D445F1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C7F2E57A-D200-4697-A687-17EB3D87C260}" end="{00000000-0000-0000-0000-000000000000}"/>
            </a:ext>
          </a:extLst>
        </xdr:cNvCxnSpPr>
      </xdr:nvCxnSpPr>
      <xdr:spPr>
        <a:xfrm>
          <a:off x="3048000" y="4514850"/>
          <a:ext cx="18097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28</xdr:row>
      <xdr:rowOff>76200</xdr:rowOff>
    </xdr:from>
    <xdr:to>
      <xdr:col>8</xdr:col>
      <xdr:colOff>9525</xdr:colOff>
      <xdr:row>28</xdr:row>
      <xdr:rowOff>76200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3E4D1EA4-5A75-48BA-AA4A-022B195A09F7}"/>
            </a:ext>
            <a:ext uri="{147F2762-F138-4A5C-976F-8EAC2B608ADB}">
              <a16:predDERef xmlns:a16="http://schemas.microsoft.com/office/drawing/2014/main" pred="{7B179028-415D-49D9-8D7F-87C6C780052E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C7F2E57A-D200-4697-A687-17EB3D87C260}" end="{00000000-0000-0000-0000-000000000000}"/>
            </a:ext>
          </a:extLst>
        </xdr:cNvCxnSpPr>
      </xdr:nvCxnSpPr>
      <xdr:spPr>
        <a:xfrm>
          <a:off x="3038475" y="5457825"/>
          <a:ext cx="18478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33</xdr:row>
      <xdr:rowOff>76200</xdr:rowOff>
    </xdr:from>
    <xdr:to>
      <xdr:col>8</xdr:col>
      <xdr:colOff>9525</xdr:colOff>
      <xdr:row>33</xdr:row>
      <xdr:rowOff>76200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5AAAFC35-B8B3-4CD3-A57A-547060B5F8FD}"/>
            </a:ext>
            <a:ext uri="{147F2762-F138-4A5C-976F-8EAC2B608ADB}">
              <a16:predDERef xmlns:a16="http://schemas.microsoft.com/office/drawing/2014/main" pred="{3E4D1EA4-5A75-48BA-AA4A-022B195A09F7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C7F2E57A-D200-4697-A687-17EB3D87C260}" end="{00000000-0000-0000-0000-000000000000}"/>
            </a:ext>
          </a:extLst>
        </xdr:cNvCxnSpPr>
      </xdr:nvCxnSpPr>
      <xdr:spPr>
        <a:xfrm>
          <a:off x="3038475" y="6410325"/>
          <a:ext cx="18478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38</xdr:row>
      <xdr:rowOff>76200</xdr:rowOff>
    </xdr:from>
    <xdr:to>
      <xdr:col>8</xdr:col>
      <xdr:colOff>19050</xdr:colOff>
      <xdr:row>38</xdr:row>
      <xdr:rowOff>76200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FC866AF8-D8AB-4876-B3F8-9424AA2BFEA6}"/>
            </a:ext>
            <a:ext uri="{147F2762-F138-4A5C-976F-8EAC2B608ADB}">
              <a16:predDERef xmlns:a16="http://schemas.microsoft.com/office/drawing/2014/main" pred="{5AAAFC35-B8B3-4CD3-A57A-547060B5F8FD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C7F2E57A-D200-4697-A687-17EB3D87C260}" end="{00000000-0000-0000-0000-000000000000}"/>
            </a:ext>
          </a:extLst>
        </xdr:cNvCxnSpPr>
      </xdr:nvCxnSpPr>
      <xdr:spPr>
        <a:xfrm>
          <a:off x="3057525" y="7362825"/>
          <a:ext cx="18383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18</xdr:row>
      <xdr:rowOff>76200</xdr:rowOff>
    </xdr:from>
    <xdr:to>
      <xdr:col>8</xdr:col>
      <xdr:colOff>0</xdr:colOff>
      <xdr:row>18</xdr:row>
      <xdr:rowOff>76200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4236F55D-BFB1-4592-AF85-64DD6DCB03A6}"/>
            </a:ext>
            <a:ext uri="{147F2762-F138-4A5C-976F-8EAC2B608ADB}">
              <a16:predDERef xmlns:a16="http://schemas.microsoft.com/office/drawing/2014/main" pred="{FC866AF8-D8AB-4876-B3F8-9424AA2BFEA6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C7F2E57A-D200-4697-A687-17EB3D87C260}" end="{00000000-0000-0000-0000-000000000000}"/>
            </a:ext>
          </a:extLst>
        </xdr:cNvCxnSpPr>
      </xdr:nvCxnSpPr>
      <xdr:spPr>
        <a:xfrm>
          <a:off x="3038475" y="3552825"/>
          <a:ext cx="18383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</xdr:row>
      <xdr:rowOff>76200</xdr:rowOff>
    </xdr:from>
    <xdr:to>
      <xdr:col>8</xdr:col>
      <xdr:colOff>9525</xdr:colOff>
      <xdr:row>8</xdr:row>
      <xdr:rowOff>76200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6791C0F7-53F1-470D-91C4-C7683AADED08}"/>
            </a:ext>
            <a:ext uri="{147F2762-F138-4A5C-976F-8EAC2B608ADB}">
              <a16:predDERef xmlns:a16="http://schemas.microsoft.com/office/drawing/2014/main" pred="{4236F55D-BFB1-4592-AF85-64DD6DCB03A6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C7F2E57A-D200-4697-A687-17EB3D87C260}" end="{00000000-0000-0000-0000-000000000000}"/>
            </a:ext>
          </a:extLst>
        </xdr:cNvCxnSpPr>
      </xdr:nvCxnSpPr>
      <xdr:spPr>
        <a:xfrm>
          <a:off x="3048000" y="1647825"/>
          <a:ext cx="18383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419100</xdr:colOff>
      <xdr:row>20</xdr:row>
      <xdr:rowOff>171450</xdr:rowOff>
    </xdr:from>
    <xdr:to>
      <xdr:col>16</xdr:col>
      <xdr:colOff>152400</xdr:colOff>
      <xdr:row>25</xdr:row>
      <xdr:rowOff>171450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6F706AC2-FCB5-C545-7990-BD698B4EFEC1}"/>
            </a:ext>
            <a:ext uri="{147F2762-F138-4A5C-976F-8EAC2B608ADB}">
              <a16:predDERef xmlns:a16="http://schemas.microsoft.com/office/drawing/2014/main" pred="{6791C0F7-53F1-470D-91C4-C7683AADED08}"/>
            </a:ext>
          </a:extLst>
        </xdr:cNvPr>
        <xdr:cNvSpPr/>
      </xdr:nvSpPr>
      <xdr:spPr>
        <a:xfrm>
          <a:off x="8953500" y="3981450"/>
          <a:ext cx="952500" cy="9525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l-GR" sz="36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Σ</a:t>
          </a:r>
        </a:p>
      </xdr:txBody>
    </xdr:sp>
    <xdr:clientData/>
  </xdr:twoCellAnchor>
  <xdr:twoCellAnchor>
    <xdr:from>
      <xdr:col>8</xdr:col>
      <xdr:colOff>9525</xdr:colOff>
      <xdr:row>8</xdr:row>
      <xdr:rowOff>76200</xdr:rowOff>
    </xdr:from>
    <xdr:to>
      <xdr:col>14</xdr:col>
      <xdr:colOff>419100</xdr:colOff>
      <xdr:row>23</xdr:row>
      <xdr:rowOff>76200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B7FE9A63-3CD5-8607-7667-6AD08D856183}"/>
            </a:ext>
            <a:ext uri="{147F2762-F138-4A5C-976F-8EAC2B608ADB}">
              <a16:predDERef xmlns:a16="http://schemas.microsoft.com/office/drawing/2014/main" pred="{6F706AC2-FCB5-C545-7990-BD698B4EFEC1}"/>
            </a:ext>
          </a:extLst>
        </xdr:cNvPr>
        <xdr:cNvCxnSpPr>
          <a:cxnSpLocks/>
          <a:endCxn id="19" idx="2"/>
          <a:extLst>
            <a:ext uri="{5F17804C-33F3-41E3-A699-7DCFA2EF7971}">
              <a16:cxnDERefs xmlns:a16="http://schemas.microsoft.com/office/drawing/2014/main" st="{00000000-0000-0000-0000-000000000000}" end="{6F706AC2-FCB5-C545-7990-BD698B4EFEC1}"/>
            </a:ext>
          </a:extLst>
        </xdr:cNvCxnSpPr>
      </xdr:nvCxnSpPr>
      <xdr:spPr>
        <a:xfrm>
          <a:off x="4886325" y="1600200"/>
          <a:ext cx="4067175" cy="2857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13</xdr:row>
      <xdr:rowOff>85725</xdr:rowOff>
    </xdr:from>
    <xdr:to>
      <xdr:col>14</xdr:col>
      <xdr:colOff>419100</xdr:colOff>
      <xdr:row>23</xdr:row>
      <xdr:rowOff>66675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8E2ABFBC-193B-4064-BB49-F6691E26E724}"/>
            </a:ext>
            <a:ext uri="{147F2762-F138-4A5C-976F-8EAC2B608ADB}">
              <a16:predDERef xmlns:a16="http://schemas.microsoft.com/office/drawing/2014/main" pred="{B7FE9A63-3CD5-8607-7667-6AD08D856183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6F706AC2-FCB5-C545-7990-BD698B4EFEC1}"/>
            </a:ext>
          </a:extLst>
        </xdr:cNvCxnSpPr>
      </xdr:nvCxnSpPr>
      <xdr:spPr>
        <a:xfrm>
          <a:off x="4867275" y="2562225"/>
          <a:ext cx="4086225" cy="1885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</xdr:row>
      <xdr:rowOff>85725</xdr:rowOff>
    </xdr:from>
    <xdr:to>
      <xdr:col>14</xdr:col>
      <xdr:colOff>419100</xdr:colOff>
      <xdr:row>23</xdr:row>
      <xdr:rowOff>76200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6161373C-860F-4393-9090-475143329F28}"/>
            </a:ext>
            <a:ext uri="{147F2762-F138-4A5C-976F-8EAC2B608ADB}">
              <a16:predDERef xmlns:a16="http://schemas.microsoft.com/office/drawing/2014/main" pred="{8E2ABFBC-193B-4064-BB49-F6691E26E724}"/>
            </a:ext>
          </a:extLst>
        </xdr:cNvPr>
        <xdr:cNvCxnSpPr>
          <a:cxnSpLocks/>
          <a:endCxn id="19" idx="2"/>
          <a:extLst>
            <a:ext uri="{5F17804C-33F3-41E3-A699-7DCFA2EF7971}">
              <a16:cxnDERefs xmlns:a16="http://schemas.microsoft.com/office/drawing/2014/main" st="{00000000-0000-0000-0000-000000000000}" end="{6F706AC2-FCB5-C545-7990-BD698B4EFEC1}"/>
            </a:ext>
          </a:extLst>
        </xdr:cNvCxnSpPr>
      </xdr:nvCxnSpPr>
      <xdr:spPr>
        <a:xfrm>
          <a:off x="4876800" y="3514725"/>
          <a:ext cx="4076700" cy="942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23</xdr:row>
      <xdr:rowOff>76200</xdr:rowOff>
    </xdr:from>
    <xdr:to>
      <xdr:col>14</xdr:col>
      <xdr:colOff>419100</xdr:colOff>
      <xdr:row>23</xdr:row>
      <xdr:rowOff>85725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1900A386-01E4-4E9B-91AC-F7E595B1CA4D}"/>
            </a:ext>
            <a:ext uri="{147F2762-F138-4A5C-976F-8EAC2B608ADB}">
              <a16:predDERef xmlns:a16="http://schemas.microsoft.com/office/drawing/2014/main" pred="{6161373C-860F-4393-9090-475143329F28}"/>
            </a:ext>
          </a:extLst>
        </xdr:cNvPr>
        <xdr:cNvCxnSpPr>
          <a:cxnSpLocks/>
          <a:endCxn id="19" idx="2"/>
          <a:extLst>
            <a:ext uri="{5F17804C-33F3-41E3-A699-7DCFA2EF7971}">
              <a16:cxnDERefs xmlns:a16="http://schemas.microsoft.com/office/drawing/2014/main" st="{00000000-0000-0000-0000-000000000000}" end="{6F706AC2-FCB5-C545-7990-BD698B4EFEC1}"/>
            </a:ext>
          </a:extLst>
        </xdr:cNvCxnSpPr>
      </xdr:nvCxnSpPr>
      <xdr:spPr>
        <a:xfrm flipV="1">
          <a:off x="4857750" y="4457700"/>
          <a:ext cx="40957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23</xdr:row>
      <xdr:rowOff>76200</xdr:rowOff>
    </xdr:from>
    <xdr:to>
      <xdr:col>14</xdr:col>
      <xdr:colOff>419100</xdr:colOff>
      <xdr:row>28</xdr:row>
      <xdr:rowOff>76200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F3B97B4D-3BFC-4E93-BCE4-42121BB20013}"/>
            </a:ext>
            <a:ext uri="{147F2762-F138-4A5C-976F-8EAC2B608ADB}">
              <a16:predDERef xmlns:a16="http://schemas.microsoft.com/office/drawing/2014/main" pred="{1900A386-01E4-4E9B-91AC-F7E595B1CA4D}"/>
            </a:ext>
          </a:extLst>
        </xdr:cNvPr>
        <xdr:cNvCxnSpPr>
          <a:cxnSpLocks/>
          <a:endCxn id="19" idx="2"/>
          <a:extLst>
            <a:ext uri="{5F17804C-33F3-41E3-A699-7DCFA2EF7971}">
              <a16:cxnDERefs xmlns:a16="http://schemas.microsoft.com/office/drawing/2014/main" st="{00000000-0000-0000-0000-000000000000}" end="{6F706AC2-FCB5-C545-7990-BD698B4EFEC1}"/>
            </a:ext>
          </a:extLst>
        </xdr:cNvCxnSpPr>
      </xdr:nvCxnSpPr>
      <xdr:spPr>
        <a:xfrm flipV="1">
          <a:off x="4876800" y="4457700"/>
          <a:ext cx="4076700" cy="952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23</xdr:row>
      <xdr:rowOff>76200</xdr:rowOff>
    </xdr:from>
    <xdr:to>
      <xdr:col>14</xdr:col>
      <xdr:colOff>419100</xdr:colOff>
      <xdr:row>33</xdr:row>
      <xdr:rowOff>85725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C7EF5351-1EAF-4B18-9A68-24F08F323D8C}"/>
            </a:ext>
            <a:ext uri="{147F2762-F138-4A5C-976F-8EAC2B608ADB}">
              <a16:predDERef xmlns:a16="http://schemas.microsoft.com/office/drawing/2014/main" pred="{F3B97B4D-3BFC-4E93-BCE4-42121BB20013}"/>
            </a:ext>
          </a:extLst>
        </xdr:cNvPr>
        <xdr:cNvCxnSpPr>
          <a:cxnSpLocks/>
          <a:endCxn id="19" idx="2"/>
          <a:extLst>
            <a:ext uri="{5F17804C-33F3-41E3-A699-7DCFA2EF7971}">
              <a16:cxnDERefs xmlns:a16="http://schemas.microsoft.com/office/drawing/2014/main" st="{00000000-0000-0000-0000-000000000000}" end="{6F706AC2-FCB5-C545-7990-BD698B4EFEC1}"/>
            </a:ext>
          </a:extLst>
        </xdr:cNvCxnSpPr>
      </xdr:nvCxnSpPr>
      <xdr:spPr>
        <a:xfrm flipV="1">
          <a:off x="4867275" y="4457700"/>
          <a:ext cx="4086225" cy="1914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23</xdr:row>
      <xdr:rowOff>76200</xdr:rowOff>
    </xdr:from>
    <xdr:to>
      <xdr:col>14</xdr:col>
      <xdr:colOff>419100</xdr:colOff>
      <xdr:row>38</xdr:row>
      <xdr:rowOff>85725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B16770DC-9E70-4BF2-B025-2426C2DBA5FE}"/>
            </a:ext>
            <a:ext uri="{147F2762-F138-4A5C-976F-8EAC2B608ADB}">
              <a16:predDERef xmlns:a16="http://schemas.microsoft.com/office/drawing/2014/main" pred="{C7EF5351-1EAF-4B18-9A68-24F08F323D8C}"/>
            </a:ext>
          </a:extLst>
        </xdr:cNvPr>
        <xdr:cNvCxnSpPr>
          <a:cxnSpLocks/>
          <a:endCxn id="19" idx="2"/>
          <a:extLst>
            <a:ext uri="{5F17804C-33F3-41E3-A699-7DCFA2EF7971}">
              <a16:cxnDERefs xmlns:a16="http://schemas.microsoft.com/office/drawing/2014/main" st="{00000000-0000-0000-0000-000000000000}" end="{6F706AC2-FCB5-C545-7990-BD698B4EFEC1}"/>
            </a:ext>
          </a:extLst>
        </xdr:cNvCxnSpPr>
      </xdr:nvCxnSpPr>
      <xdr:spPr>
        <a:xfrm flipV="1">
          <a:off x="4876800" y="4457700"/>
          <a:ext cx="4076700" cy="2867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276225</xdr:colOff>
      <xdr:row>9</xdr:row>
      <xdr:rowOff>0</xdr:rowOff>
    </xdr:from>
    <xdr:to>
      <xdr:col>15</xdr:col>
      <xdr:colOff>276225</xdr:colOff>
      <xdr:row>20</xdr:row>
      <xdr:rowOff>171450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5DC6D54E-FE3D-C3B4-7916-E9BE2F785A6E}"/>
            </a:ext>
            <a:ext uri="{147F2762-F138-4A5C-976F-8EAC2B608ADB}">
              <a16:predDERef xmlns:a16="http://schemas.microsoft.com/office/drawing/2014/main" pred="{B16770DC-9E70-4BF2-B025-2426C2DBA5FE}"/>
            </a:ext>
          </a:extLst>
        </xdr:cNvPr>
        <xdr:cNvCxnSpPr>
          <a:cxnSpLocks/>
          <a:endCxn id="19" idx="0"/>
          <a:extLst>
            <a:ext uri="{5F17804C-33F3-41E3-A699-7DCFA2EF7971}">
              <a16:cxnDERefs xmlns:a16="http://schemas.microsoft.com/office/drawing/2014/main" st="{00000000-0000-0000-0000-000000000000}" end="{6F706AC2-FCB5-C545-7990-BD698B4EFEC1}"/>
            </a:ext>
          </a:extLst>
        </xdr:cNvCxnSpPr>
      </xdr:nvCxnSpPr>
      <xdr:spPr>
        <a:xfrm>
          <a:off x="9420225" y="1714500"/>
          <a:ext cx="0" cy="2266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152400</xdr:colOff>
      <xdr:row>20</xdr:row>
      <xdr:rowOff>171450</xdr:rowOff>
    </xdr:from>
    <xdr:to>
      <xdr:col>21</xdr:col>
      <xdr:colOff>495300</xdr:colOff>
      <xdr:row>25</xdr:row>
      <xdr:rowOff>171450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DCA48294-7416-0AE0-FAEC-FB0C1A8AAA9F}"/>
            </a:ext>
            <a:ext uri="{147F2762-F138-4A5C-976F-8EAC2B608ADB}">
              <a16:predDERef xmlns:a16="http://schemas.microsoft.com/office/drawing/2014/main" pred="{5DC6D54E-FE3D-C3B4-7916-E9BE2F785A6E}"/>
            </a:ext>
          </a:extLst>
        </xdr:cNvPr>
        <xdr:cNvSpPr/>
      </xdr:nvSpPr>
      <xdr:spPr>
        <a:xfrm>
          <a:off x="12344400" y="3981450"/>
          <a:ext cx="952500" cy="952500"/>
        </a:xfrm>
        <a:prstGeom prst="rect">
          <a:avLst/>
        </a:prstGeom>
        <a:solidFill>
          <a:schemeClr val="bg1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16</xdr:col>
      <xdr:colOff>152400</xdr:colOff>
      <xdr:row>23</xdr:row>
      <xdr:rowOff>76200</xdr:rowOff>
    </xdr:from>
    <xdr:to>
      <xdr:col>22</xdr:col>
      <xdr:colOff>514350</xdr:colOff>
      <xdr:row>23</xdr:row>
      <xdr:rowOff>104775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E4C85334-7ED5-B001-2F32-07992DB3AE4E}"/>
            </a:ext>
            <a:ext uri="{147F2762-F138-4A5C-976F-8EAC2B608ADB}">
              <a16:predDERef xmlns:a16="http://schemas.microsoft.com/office/drawing/2014/main" pred="{DCA48294-7416-0AE0-FAEC-FB0C1A8AAA9F}"/>
            </a:ext>
          </a:extLst>
        </xdr:cNvPr>
        <xdr:cNvCxnSpPr>
          <a:cxnSpLocks/>
          <a:stCxn id="19" idx="6"/>
          <a:extLst>
            <a:ext uri="{5F17804C-33F3-41E3-A699-7DCFA2EF7971}">
              <a16:cxnDERefs xmlns:a16="http://schemas.microsoft.com/office/drawing/2014/main" st="{6F706AC2-FCB5-C545-7990-BD698B4EFEC1}" end="{00000000-0000-0000-0000-000000000000}"/>
            </a:ext>
          </a:extLst>
        </xdr:cNvCxnSpPr>
      </xdr:nvCxnSpPr>
      <xdr:spPr>
        <a:xfrm>
          <a:off x="9906000" y="4457700"/>
          <a:ext cx="4019550" cy="28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76200</xdr:colOff>
      <xdr:row>22</xdr:row>
      <xdr:rowOff>0</xdr:rowOff>
    </xdr:from>
    <xdr:to>
      <xdr:col>21</xdr:col>
      <xdr:colOff>381000</xdr:colOff>
      <xdr:row>22</xdr:row>
      <xdr:rowOff>0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C8A5793C-9A87-AAE2-10EE-FD97E9616A43}"/>
            </a:ext>
            <a:ext uri="{147F2762-F138-4A5C-976F-8EAC2B608ADB}">
              <a16:predDERef xmlns:a16="http://schemas.microsoft.com/office/drawing/2014/main" pred="{E4C85334-7ED5-B001-2F32-07992DB3AE4E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32329F12-8BDA-2CB0-75E8-6929475789D2}"/>
            </a:ext>
          </a:extLst>
        </xdr:cNvCxnSpPr>
      </xdr:nvCxnSpPr>
      <xdr:spPr>
        <a:xfrm>
          <a:off x="12877800" y="4191000"/>
          <a:ext cx="304800" cy="0"/>
        </a:xfrm>
        <a:prstGeom prst="line">
          <a:avLst/>
        </a:prstGeom>
        <a:ln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66675</xdr:colOff>
      <xdr:row>21</xdr:row>
      <xdr:rowOff>180975</xdr:rowOff>
    </xdr:from>
    <xdr:to>
      <xdr:col>21</xdr:col>
      <xdr:colOff>66675</xdr:colOff>
      <xdr:row>24</xdr:row>
      <xdr:rowOff>180975</xdr:rowOff>
    </xdr:to>
    <xdr:cxnSp macro="">
      <xdr:nvCxnSpPr>
        <xdr:cNvPr id="33" name="Conector Reto 32">
          <a:extLst>
            <a:ext uri="{FF2B5EF4-FFF2-40B4-BE49-F238E27FC236}">
              <a16:creationId xmlns:a16="http://schemas.microsoft.com/office/drawing/2014/main" id="{AEE39EA5-249E-4D11-A0C5-4C88ADC99EC5}"/>
            </a:ext>
            <a:ext uri="{147F2762-F138-4A5C-976F-8EAC2B608ADB}">
              <a16:predDERef xmlns:a16="http://schemas.microsoft.com/office/drawing/2014/main" pred="{C8A5793C-9A87-AAE2-10EE-FD97E9616A43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32329F12-8BDA-2CB0-75E8-6929475789D2}"/>
            </a:ext>
          </a:extLst>
        </xdr:cNvCxnSpPr>
      </xdr:nvCxnSpPr>
      <xdr:spPr>
        <a:xfrm flipH="1">
          <a:off x="12868275" y="4181475"/>
          <a:ext cx="0" cy="571500"/>
        </a:xfrm>
        <a:prstGeom prst="line">
          <a:avLst/>
        </a:prstGeom>
        <a:ln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361950</xdr:colOff>
      <xdr:row>24</xdr:row>
      <xdr:rowOff>171450</xdr:rowOff>
    </xdr:from>
    <xdr:to>
      <xdr:col>21</xdr:col>
      <xdr:colOff>57150</xdr:colOff>
      <xdr:row>24</xdr:row>
      <xdr:rowOff>171450</xdr:rowOff>
    </xdr:to>
    <xdr:cxnSp macro="">
      <xdr:nvCxnSpPr>
        <xdr:cNvPr id="35" name="Conector Reto 34">
          <a:extLst>
            <a:ext uri="{FF2B5EF4-FFF2-40B4-BE49-F238E27FC236}">
              <a16:creationId xmlns:a16="http://schemas.microsoft.com/office/drawing/2014/main" id="{F915B7DD-C926-4150-9E77-3FF94004967F}"/>
            </a:ext>
            <a:ext uri="{147F2762-F138-4A5C-976F-8EAC2B608ADB}">
              <a16:predDERef xmlns:a16="http://schemas.microsoft.com/office/drawing/2014/main" pred="{F2FE5A64-CBE1-4CC1-9ABF-FABB392EA89E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32329F12-8BDA-2CB0-75E8-6929475789D2}"/>
            </a:ext>
          </a:extLst>
        </xdr:cNvCxnSpPr>
      </xdr:nvCxnSpPr>
      <xdr:spPr>
        <a:xfrm>
          <a:off x="12553950" y="4743450"/>
          <a:ext cx="304800" cy="0"/>
        </a:xfrm>
        <a:prstGeom prst="line">
          <a:avLst/>
        </a:prstGeom>
        <a:ln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22</xdr:row>
      <xdr:rowOff>38100</xdr:rowOff>
    </xdr:from>
    <xdr:to>
      <xdr:col>21</xdr:col>
      <xdr:colOff>457200</xdr:colOff>
      <xdr:row>23</xdr:row>
      <xdr:rowOff>66675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202B150-3FB8-244C-02C2-3135BD4E1AF6}"/>
            </a:ext>
            <a:ext uri="{147F2762-F138-4A5C-976F-8EAC2B608ADB}">
              <a16:predDERef xmlns:a16="http://schemas.microsoft.com/office/drawing/2014/main" pred="{F915B7DD-C926-4150-9E77-3FF94004967F}"/>
            </a:ext>
          </a:extLst>
        </xdr:cNvPr>
        <xdr:cNvSpPr txBox="1"/>
      </xdr:nvSpPr>
      <xdr:spPr>
        <a:xfrm>
          <a:off x="12896850" y="4229100"/>
          <a:ext cx="361950" cy="21907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+ 1</a:t>
          </a:r>
        </a:p>
      </xdr:txBody>
    </xdr:sp>
    <xdr:clientData/>
  </xdr:twoCellAnchor>
  <xdr:twoCellAnchor>
    <xdr:from>
      <xdr:col>20</xdr:col>
      <xdr:colOff>257175</xdr:colOff>
      <xdr:row>23</xdr:row>
      <xdr:rowOff>114300</xdr:rowOff>
    </xdr:from>
    <xdr:to>
      <xdr:col>20</xdr:col>
      <xdr:colOff>600075</xdr:colOff>
      <xdr:row>24</xdr:row>
      <xdr:rowOff>152400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F5059A3-74BC-9311-DFE6-B7A6F6E9BE34}"/>
            </a:ext>
            <a:ext uri="{147F2762-F138-4A5C-976F-8EAC2B608ADB}">
              <a16:predDERef xmlns:a16="http://schemas.microsoft.com/office/drawing/2014/main" pred="{7202B150-3FB8-244C-02C2-3135BD4E1AF6}"/>
            </a:ext>
          </a:extLst>
        </xdr:cNvPr>
        <xdr:cNvSpPr txBox="1"/>
      </xdr:nvSpPr>
      <xdr:spPr>
        <a:xfrm>
          <a:off x="12449175" y="4495800"/>
          <a:ext cx="3429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- 1</a:t>
          </a:r>
        </a:p>
      </xdr:txBody>
    </xdr:sp>
    <xdr:clientData/>
  </xdr:twoCellAnchor>
  <xdr:twoCellAnchor>
    <xdr:from>
      <xdr:col>16</xdr:col>
      <xdr:colOff>152400</xdr:colOff>
      <xdr:row>23</xdr:row>
      <xdr:rowOff>76200</xdr:rowOff>
    </xdr:from>
    <xdr:to>
      <xdr:col>19</xdr:col>
      <xdr:colOff>276225</xdr:colOff>
      <xdr:row>23</xdr:row>
      <xdr:rowOff>85725</xdr:rowOff>
    </xdr:to>
    <xdr:cxnSp macro="">
      <xdr:nvCxnSpPr>
        <xdr:cNvPr id="38" name="Conector Reto 37">
          <a:extLst>
            <a:ext uri="{FF2B5EF4-FFF2-40B4-BE49-F238E27FC236}">
              <a16:creationId xmlns:a16="http://schemas.microsoft.com/office/drawing/2014/main" id="{573518F4-2BAE-147C-62F0-6595E5D20159}"/>
            </a:ext>
            <a:ext uri="{147F2762-F138-4A5C-976F-8EAC2B608ADB}">
              <a16:predDERef xmlns:a16="http://schemas.microsoft.com/office/drawing/2014/main" pred="{4F5059A3-74BC-9311-DFE6-B7A6F6E9BE34}"/>
            </a:ext>
          </a:extLst>
        </xdr:cNvPr>
        <xdr:cNvCxnSpPr>
          <a:cxnSpLocks/>
          <a:stCxn id="19" idx="6"/>
          <a:extLst>
            <a:ext uri="{5F17804C-33F3-41E3-A699-7DCFA2EF7971}">
              <a16:cxnDERefs xmlns:a16="http://schemas.microsoft.com/office/drawing/2014/main" st="{6F706AC2-FCB5-C545-7990-BD698B4EFEC1}" end="{00000000-0000-0000-0000-000000000000}"/>
            </a:ext>
          </a:extLst>
        </xdr:cNvCxnSpPr>
      </xdr:nvCxnSpPr>
      <xdr:spPr>
        <a:xfrm>
          <a:off x="9906000" y="4457700"/>
          <a:ext cx="1952625" cy="95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476250</xdr:colOff>
      <xdr:row>23</xdr:row>
      <xdr:rowOff>95250</xdr:rowOff>
    </xdr:from>
    <xdr:to>
      <xdr:col>22</xdr:col>
      <xdr:colOff>581025</xdr:colOff>
      <xdr:row>23</xdr:row>
      <xdr:rowOff>95250</xdr:rowOff>
    </xdr:to>
    <xdr:cxnSp macro="">
      <xdr:nvCxnSpPr>
        <xdr:cNvPr id="39" name="Conector Reto 38">
          <a:extLst>
            <a:ext uri="{FF2B5EF4-FFF2-40B4-BE49-F238E27FC236}">
              <a16:creationId xmlns:a16="http://schemas.microsoft.com/office/drawing/2014/main" id="{E74FE169-645E-BC91-CCE4-1BB071B276C4}"/>
            </a:ext>
            <a:ext uri="{147F2762-F138-4A5C-976F-8EAC2B608ADB}">
              <a16:predDERef xmlns:a16="http://schemas.microsoft.com/office/drawing/2014/main" pred="{573518F4-2BAE-147C-62F0-6595E5D20159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DCA48294-7416-0AE0-FAEC-FB0C1A8AAA9F}" end="{00000000-0000-0000-0000-000000000000}"/>
            </a:ext>
          </a:extLst>
        </xdr:cNvCxnSpPr>
      </xdr:nvCxnSpPr>
      <xdr:spPr>
        <a:xfrm>
          <a:off x="13277850" y="4476750"/>
          <a:ext cx="714375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Y43"/>
  <sheetViews>
    <sheetView showGridLines="0" workbookViewId="0">
      <selection activeCell="U9" sqref="U9"/>
    </sheetView>
  </sheetViews>
  <sheetFormatPr defaultRowHeight="15"/>
  <sheetData>
    <row r="1" spans="3:20" ht="18.75">
      <c r="F1" s="19" t="s">
        <v>0</v>
      </c>
      <c r="G1" s="20"/>
      <c r="H1" s="20"/>
      <c r="I1" s="20"/>
      <c r="J1" s="20"/>
      <c r="N1" s="8"/>
      <c r="O1" s="8"/>
      <c r="P1" s="8"/>
      <c r="Q1" s="8"/>
      <c r="R1" s="8"/>
      <c r="S1" s="8"/>
      <c r="T1" s="8"/>
    </row>
    <row r="2" spans="3:20">
      <c r="F2" s="20"/>
      <c r="G2" s="20"/>
      <c r="H2" s="20"/>
      <c r="I2" s="20"/>
      <c r="J2" s="20"/>
      <c r="K2" s="2"/>
      <c r="N2" s="4"/>
      <c r="O2" s="4"/>
      <c r="P2" s="4"/>
      <c r="Q2" s="4"/>
      <c r="R2" s="4"/>
      <c r="S2" s="4"/>
      <c r="T2" s="4"/>
    </row>
    <row r="3" spans="3:20">
      <c r="F3" s="20"/>
      <c r="G3" s="20"/>
      <c r="H3" s="20"/>
      <c r="I3" s="20"/>
      <c r="J3" s="20"/>
    </row>
    <row r="7" spans="3:20">
      <c r="O7" s="21" t="s">
        <v>1</v>
      </c>
      <c r="P7" s="22"/>
      <c r="Q7" s="22"/>
    </row>
    <row r="8" spans="3:20" ht="15.75" customHeight="1">
      <c r="D8" s="15">
        <f>Treinamento!B8</f>
        <v>5</v>
      </c>
      <c r="E8" s="15"/>
      <c r="G8" s="3" t="s">
        <v>2</v>
      </c>
      <c r="O8" s="22"/>
      <c r="P8" s="22"/>
      <c r="Q8" s="22"/>
    </row>
    <row r="9" spans="3:20" ht="15.75" customHeight="1">
      <c r="C9" s="1" t="s">
        <v>3</v>
      </c>
      <c r="D9" s="15"/>
      <c r="E9" s="15"/>
      <c r="O9" s="22"/>
      <c r="P9" s="22"/>
      <c r="Q9" s="22"/>
    </row>
    <row r="10" spans="3:20" ht="15.75" customHeight="1">
      <c r="D10" s="15"/>
      <c r="E10" s="15"/>
    </row>
    <row r="13" spans="3:20" ht="15.75" customHeight="1">
      <c r="D13" s="15">
        <f>Treinamento!C8</f>
        <v>4</v>
      </c>
      <c r="E13" s="15"/>
      <c r="G13" s="3" t="s">
        <v>4</v>
      </c>
    </row>
    <row r="14" spans="3:20" ht="15.75" customHeight="1">
      <c r="C14" s="1" t="s">
        <v>5</v>
      </c>
      <c r="D14" s="15"/>
      <c r="E14" s="15"/>
    </row>
    <row r="15" spans="3:20" ht="15.75" customHeight="1">
      <c r="D15" s="15"/>
      <c r="E15" s="15"/>
    </row>
    <row r="18" spans="3:25" ht="15.75" customHeight="1">
      <c r="D18" s="15">
        <f>Treinamento!D8</f>
        <v>9</v>
      </c>
      <c r="E18" s="15"/>
      <c r="G18" s="3" t="s">
        <v>6</v>
      </c>
    </row>
    <row r="19" spans="3:25" ht="15.75" customHeight="1">
      <c r="C19" s="1" t="s">
        <v>7</v>
      </c>
      <c r="D19" s="15"/>
      <c r="E19" s="15"/>
    </row>
    <row r="20" spans="3:25" ht="15.75" customHeight="1">
      <c r="D20" s="15"/>
      <c r="E20" s="15"/>
    </row>
    <row r="22" spans="3:25">
      <c r="R22" s="23" t="s">
        <v>8</v>
      </c>
    </row>
    <row r="23" spans="3:25" ht="15.75" customHeight="1">
      <c r="D23" s="15">
        <f>Treinamento!E8</f>
        <v>1</v>
      </c>
      <c r="E23" s="15"/>
      <c r="G23" s="3" t="s">
        <v>9</v>
      </c>
      <c r="Q23" s="18"/>
      <c r="R23" s="24"/>
      <c r="W23" s="4" t="s">
        <v>10</v>
      </c>
      <c r="Y23" s="16">
        <f>Treinamento!J8</f>
        <v>1</v>
      </c>
    </row>
    <row r="24" spans="3:25" ht="15.75" customHeight="1">
      <c r="C24" s="1" t="s">
        <v>11</v>
      </c>
      <c r="D24" s="15"/>
      <c r="E24" s="15"/>
      <c r="Q24" s="18"/>
      <c r="X24" s="5" t="s">
        <v>12</v>
      </c>
      <c r="Y24" s="17"/>
    </row>
    <row r="25" spans="3:25" ht="15.75" customHeight="1">
      <c r="D25" s="15"/>
      <c r="E25" s="15"/>
      <c r="Q25" s="18"/>
      <c r="Y25" s="17"/>
    </row>
    <row r="26" spans="3:25">
      <c r="Y26" s="7"/>
    </row>
    <row r="27" spans="3:25">
      <c r="U27" s="25" t="s">
        <v>13</v>
      </c>
      <c r="V27" s="25"/>
    </row>
    <row r="28" spans="3:25" ht="15.75" customHeight="1">
      <c r="D28" s="15">
        <f>Treinamento!F8</f>
        <v>0</v>
      </c>
      <c r="E28" s="15"/>
      <c r="G28" s="3" t="s">
        <v>14</v>
      </c>
    </row>
    <row r="29" spans="3:25" ht="15.75" customHeight="1">
      <c r="C29" s="1" t="s">
        <v>15</v>
      </c>
      <c r="D29" s="15"/>
      <c r="E29" s="15"/>
    </row>
    <row r="30" spans="3:25" ht="15.75" customHeight="1">
      <c r="D30" s="15"/>
      <c r="E30" s="15"/>
    </row>
    <row r="33" spans="3:15" ht="15.75" customHeight="1">
      <c r="D33" s="15">
        <f>Treinamento!G8</f>
        <v>3</v>
      </c>
      <c r="E33" s="15"/>
      <c r="G33" s="3" t="s">
        <v>16</v>
      </c>
    </row>
    <row r="34" spans="3:15" ht="15.75" customHeight="1">
      <c r="C34" s="1" t="s">
        <v>17</v>
      </c>
      <c r="D34" s="15"/>
      <c r="E34" s="15"/>
    </row>
    <row r="35" spans="3:15" ht="15.75" customHeight="1">
      <c r="D35" s="15"/>
      <c r="E35" s="15"/>
    </row>
    <row r="38" spans="3:15" ht="15.75" customHeight="1">
      <c r="D38" s="15">
        <f>Treinamento!H8</f>
        <v>5</v>
      </c>
      <c r="E38" s="15"/>
      <c r="G38" s="6" t="s">
        <v>18</v>
      </c>
    </row>
    <row r="39" spans="3:15" ht="15.75" customHeight="1">
      <c r="C39" s="1" t="s">
        <v>19</v>
      </c>
      <c r="D39" s="15"/>
      <c r="E39" s="15"/>
    </row>
    <row r="40" spans="3:15" ht="15.75" customHeight="1">
      <c r="D40" s="15"/>
      <c r="E40" s="15"/>
    </row>
    <row r="42" spans="3:15">
      <c r="G42" s="26" t="s">
        <v>20</v>
      </c>
      <c r="H42" s="26"/>
      <c r="I42" s="26"/>
      <c r="J42" s="26"/>
      <c r="L42" s="27" t="s">
        <v>21</v>
      </c>
      <c r="M42" s="27"/>
      <c r="N42" s="27"/>
      <c r="O42" s="27"/>
    </row>
    <row r="43" spans="3:15">
      <c r="G43" s="26"/>
      <c r="H43" s="26"/>
      <c r="I43" s="26"/>
      <c r="J43" s="26"/>
      <c r="L43" s="27"/>
      <c r="M43" s="27"/>
      <c r="N43" s="27"/>
      <c r="O43" s="27"/>
    </row>
  </sheetData>
  <mergeCells count="15">
    <mergeCell ref="F1:J3"/>
    <mergeCell ref="O7:Q9"/>
    <mergeCell ref="R22:R23"/>
    <mergeCell ref="U27:V27"/>
    <mergeCell ref="G42:J43"/>
    <mergeCell ref="L42:O43"/>
    <mergeCell ref="D28:E30"/>
    <mergeCell ref="D33:E35"/>
    <mergeCell ref="D38:E40"/>
    <mergeCell ref="Y23:Y25"/>
    <mergeCell ref="D8:E10"/>
    <mergeCell ref="D13:E15"/>
    <mergeCell ref="D18:E20"/>
    <mergeCell ref="D23:E25"/>
    <mergeCell ref="Q23:Q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58EE-7FA6-4AFA-BA87-F64ADC0CF8FB}">
  <dimension ref="A1:U57"/>
  <sheetViews>
    <sheetView tabSelected="1" workbookViewId="0">
      <selection activeCell="I12" sqref="I12"/>
    </sheetView>
  </sheetViews>
  <sheetFormatPr defaultRowHeight="15"/>
  <sheetData>
    <row r="1" spans="1:21">
      <c r="B1" s="32" t="s">
        <v>22</v>
      </c>
      <c r="C1" s="33"/>
      <c r="D1" s="33"/>
      <c r="E1" s="9">
        <v>0.01</v>
      </c>
    </row>
    <row r="3" spans="1:21">
      <c r="D3" s="13" t="s">
        <v>23</v>
      </c>
    </row>
    <row r="4" spans="1:21">
      <c r="A4" s="31" t="s">
        <v>24</v>
      </c>
      <c r="B4" s="31" t="s">
        <v>25</v>
      </c>
      <c r="C4" s="31" t="s">
        <v>26</v>
      </c>
      <c r="D4" s="31" t="s">
        <v>27</v>
      </c>
      <c r="E4" s="31" t="s">
        <v>28</v>
      </c>
      <c r="F4" s="31" t="s">
        <v>29</v>
      </c>
      <c r="G4" s="31" t="s">
        <v>30</v>
      </c>
      <c r="H4" s="31" t="s">
        <v>31</v>
      </c>
    </row>
    <row r="5" spans="1:21">
      <c r="A5" s="9">
        <v>0.12</v>
      </c>
      <c r="B5" s="9">
        <v>-7.0000000000000007E-2</v>
      </c>
      <c r="C5" s="9">
        <v>0.03</v>
      </c>
      <c r="D5" s="9">
        <v>0.25</v>
      </c>
      <c r="E5" s="9">
        <v>-0.14000000000000001</v>
      </c>
      <c r="F5" s="9">
        <v>0.09</v>
      </c>
      <c r="G5" s="34">
        <v>-0.05</v>
      </c>
      <c r="H5" s="28"/>
    </row>
    <row r="7" spans="1:21">
      <c r="A7" s="10"/>
      <c r="B7" s="14" t="s">
        <v>32</v>
      </c>
      <c r="C7" s="14" t="s">
        <v>33</v>
      </c>
      <c r="D7" s="14" t="s">
        <v>34</v>
      </c>
      <c r="E7" s="14" t="s">
        <v>35</v>
      </c>
      <c r="F7" s="14" t="s">
        <v>36</v>
      </c>
      <c r="G7" s="14" t="s">
        <v>37</v>
      </c>
      <c r="H7" s="14" t="s">
        <v>38</v>
      </c>
      <c r="I7" s="30" t="s">
        <v>39</v>
      </c>
      <c r="J7" s="30" t="s">
        <v>40</v>
      </c>
      <c r="K7" s="30" t="s">
        <v>41</v>
      </c>
      <c r="L7" s="30" t="s">
        <v>42</v>
      </c>
      <c r="M7" s="30" t="s">
        <v>43</v>
      </c>
      <c r="N7" s="30" t="s">
        <v>44</v>
      </c>
      <c r="O7" s="30" t="s">
        <v>45</v>
      </c>
      <c r="P7" s="30" t="s">
        <v>46</v>
      </c>
      <c r="Q7" s="30" t="s">
        <v>47</v>
      </c>
      <c r="R7" s="30" t="s">
        <v>48</v>
      </c>
      <c r="S7" s="30" t="s">
        <v>49</v>
      </c>
      <c r="T7" s="30" t="s">
        <v>50</v>
      </c>
      <c r="U7" s="30" t="s">
        <v>51</v>
      </c>
    </row>
    <row r="8" spans="1:21">
      <c r="A8" s="30" t="s">
        <v>52</v>
      </c>
      <c r="B8" s="10">
        <v>5</v>
      </c>
      <c r="C8" s="10">
        <v>4</v>
      </c>
      <c r="D8" s="10">
        <v>9</v>
      </c>
      <c r="E8" s="10">
        <v>1</v>
      </c>
      <c r="F8" s="10">
        <v>0</v>
      </c>
      <c r="G8" s="10">
        <v>3</v>
      </c>
      <c r="H8" s="10">
        <v>5</v>
      </c>
      <c r="I8" s="10">
        <f>(H$5*1)+(A$5*B8)+(B$5*C8)+(C$5*D8)+(D$5*E8)+(E$5*F8)+(F$5*G8)+(G$5*H8)</f>
        <v>0.85999999999999988</v>
      </c>
      <c r="J8" s="10">
        <f>IF(I8&gt;=0, 1, -1)</f>
        <v>1</v>
      </c>
      <c r="K8" s="10">
        <f>IF(J8&gt;0,1,-1)</f>
        <v>1</v>
      </c>
      <c r="L8" s="10">
        <f>J8</f>
        <v>1</v>
      </c>
      <c r="M8" s="11">
        <f>IF(SUM(A8:H8) &gt; 15, 1, -1)</f>
        <v>1</v>
      </c>
      <c r="N8" s="11">
        <f>IF(SUM(B8:I8) &gt; 15, 1, -1)</f>
        <v>1</v>
      </c>
      <c r="O8" s="29">
        <f>$E$1*$N8*B8</f>
        <v>0.05</v>
      </c>
      <c r="P8" s="29">
        <f t="shared" ref="P8:U23" si="0">$E$1*$N8*C8</f>
        <v>0.04</v>
      </c>
      <c r="Q8" s="29">
        <f t="shared" si="0"/>
        <v>0.09</v>
      </c>
      <c r="R8" s="29">
        <f t="shared" si="0"/>
        <v>0.01</v>
      </c>
      <c r="S8" s="29">
        <f t="shared" si="0"/>
        <v>0</v>
      </c>
      <c r="T8" s="29">
        <f t="shared" si="0"/>
        <v>0.03</v>
      </c>
      <c r="U8" s="29">
        <f t="shared" si="0"/>
        <v>0.05</v>
      </c>
    </row>
    <row r="9" spans="1:21">
      <c r="A9" s="30">
        <v>2</v>
      </c>
      <c r="B9" s="10">
        <v>-6</v>
      </c>
      <c r="C9" s="10">
        <v>-2</v>
      </c>
      <c r="D9" s="10">
        <v>2</v>
      </c>
      <c r="E9" s="10">
        <v>-10</v>
      </c>
      <c r="F9" s="10">
        <v>0</v>
      </c>
      <c r="G9" s="10">
        <v>-5</v>
      </c>
      <c r="H9" s="10">
        <v>-10</v>
      </c>
      <c r="I9" s="10">
        <f t="shared" ref="I9:I57" si="1">(H$5*1)+(A$5*B9)+(B$5*C9)+(C$5*D9)+(D$5*E9)+(E$5*F9)+(F$5*G9)+(G$5*H9)</f>
        <v>-2.9699999999999998</v>
      </c>
      <c r="J9" s="10">
        <f t="shared" ref="J9:J57" si="2">IF(I9&gt;=0, 1, -1)</f>
        <v>-1</v>
      </c>
      <c r="K9" s="10">
        <f t="shared" ref="K9:K57" si="3" xml:space="preserve"> J9</f>
        <v>-1</v>
      </c>
      <c r="L9" s="12">
        <f t="shared" ref="L9:L57" si="4">J9</f>
        <v>-1</v>
      </c>
      <c r="M9" s="11">
        <f>IF(SUM(A9:H9) &gt; 15, 1, -1)</f>
        <v>-1</v>
      </c>
      <c r="N9" s="11">
        <f t="shared" ref="N9:N57" si="5">IF(SUM(B9:I9) &gt; 15, 1, -1)</f>
        <v>-1</v>
      </c>
      <c r="O9" s="29">
        <f t="shared" ref="O9:U57" si="6">$E$1*$N9*B9</f>
        <v>0.06</v>
      </c>
      <c r="P9" s="29">
        <f t="shared" si="0"/>
        <v>0.02</v>
      </c>
      <c r="Q9" s="29">
        <f t="shared" si="0"/>
        <v>-0.02</v>
      </c>
      <c r="R9" s="29">
        <f t="shared" si="0"/>
        <v>0.1</v>
      </c>
      <c r="S9" s="29">
        <f t="shared" si="0"/>
        <v>0</v>
      </c>
      <c r="T9" s="29">
        <f t="shared" si="0"/>
        <v>0.05</v>
      </c>
      <c r="U9" s="29">
        <f t="shared" si="0"/>
        <v>0.1</v>
      </c>
    </row>
    <row r="10" spans="1:21">
      <c r="A10" s="30">
        <v>3</v>
      </c>
      <c r="B10" s="10">
        <v>10</v>
      </c>
      <c r="C10" s="10">
        <v>7</v>
      </c>
      <c r="D10" s="10">
        <v>-7</v>
      </c>
      <c r="E10" s="10">
        <v>-1</v>
      </c>
      <c r="F10" s="10">
        <v>1</v>
      </c>
      <c r="G10" s="10">
        <v>4</v>
      </c>
      <c r="H10" s="10">
        <v>0</v>
      </c>
      <c r="I10" s="10">
        <f t="shared" si="1"/>
        <v>0.47</v>
      </c>
      <c r="J10" s="10">
        <f t="shared" si="2"/>
        <v>1</v>
      </c>
      <c r="K10" s="10">
        <f t="shared" si="3"/>
        <v>1</v>
      </c>
      <c r="L10" s="12">
        <f t="shared" si="4"/>
        <v>1</v>
      </c>
      <c r="M10" s="11">
        <f t="shared" ref="M9:M57" si="7">IF(SUM(A10:H10) &gt; 15, 1, -1)</f>
        <v>1</v>
      </c>
      <c r="N10" s="11">
        <f t="shared" si="5"/>
        <v>-1</v>
      </c>
      <c r="O10" s="29">
        <f t="shared" si="6"/>
        <v>-0.1</v>
      </c>
      <c r="P10" s="29">
        <f t="shared" si="0"/>
        <v>-7.0000000000000007E-2</v>
      </c>
      <c r="Q10" s="29">
        <f t="shared" si="0"/>
        <v>7.0000000000000007E-2</v>
      </c>
      <c r="R10" s="29">
        <f t="shared" si="0"/>
        <v>0.01</v>
      </c>
      <c r="S10" s="29">
        <f t="shared" si="0"/>
        <v>-0.01</v>
      </c>
      <c r="T10" s="29">
        <f t="shared" si="0"/>
        <v>-0.04</v>
      </c>
      <c r="U10" s="29">
        <f t="shared" si="0"/>
        <v>0</v>
      </c>
    </row>
    <row r="11" spans="1:21">
      <c r="A11" s="30">
        <v>4</v>
      </c>
      <c r="B11" s="10">
        <v>10</v>
      </c>
      <c r="C11" s="10">
        <v>-10</v>
      </c>
      <c r="D11" s="10">
        <v>-10</v>
      </c>
      <c r="E11" s="10">
        <v>5</v>
      </c>
      <c r="F11" s="10">
        <v>-8</v>
      </c>
      <c r="G11" s="10">
        <v>-10</v>
      </c>
      <c r="H11" s="10">
        <v>-7</v>
      </c>
      <c r="I11" s="10">
        <f>(H$5*1)+(A$5*B11)+(B$5*C11)+(C$5*D11)+(D$5*E11)+(E$5*F11)+(F$5*G11)+(G$5*H11)</f>
        <v>3.42</v>
      </c>
      <c r="J11" s="10">
        <f t="shared" si="2"/>
        <v>1</v>
      </c>
      <c r="K11" s="10">
        <f t="shared" si="3"/>
        <v>1</v>
      </c>
      <c r="L11" s="12">
        <f t="shared" si="4"/>
        <v>1</v>
      </c>
      <c r="M11" s="11">
        <f t="shared" si="7"/>
        <v>-1</v>
      </c>
      <c r="N11" s="11">
        <f t="shared" si="5"/>
        <v>-1</v>
      </c>
      <c r="O11" s="29">
        <f t="shared" si="6"/>
        <v>-0.1</v>
      </c>
      <c r="P11" s="29">
        <f t="shared" si="0"/>
        <v>0.1</v>
      </c>
      <c r="Q11" s="29">
        <f t="shared" si="0"/>
        <v>0.1</v>
      </c>
      <c r="R11" s="29">
        <f t="shared" si="0"/>
        <v>-0.05</v>
      </c>
      <c r="S11" s="29">
        <f t="shared" si="0"/>
        <v>0.08</v>
      </c>
      <c r="T11" s="29">
        <f t="shared" si="0"/>
        <v>0.1</v>
      </c>
      <c r="U11" s="29">
        <f t="shared" si="0"/>
        <v>7.0000000000000007E-2</v>
      </c>
    </row>
    <row r="12" spans="1:21">
      <c r="A12" s="30">
        <v>5</v>
      </c>
      <c r="B12" s="10">
        <v>-9</v>
      </c>
      <c r="C12" s="10">
        <v>-8</v>
      </c>
      <c r="D12" s="10">
        <v>-10</v>
      </c>
      <c r="E12" s="10">
        <v>-2</v>
      </c>
      <c r="F12" s="10">
        <v>-1</v>
      </c>
      <c r="G12" s="10">
        <v>-7</v>
      </c>
      <c r="H12" s="10">
        <v>-10</v>
      </c>
      <c r="I12" s="10">
        <f t="shared" si="1"/>
        <v>-1.31</v>
      </c>
      <c r="J12" s="10">
        <f t="shared" si="2"/>
        <v>-1</v>
      </c>
      <c r="K12" s="10">
        <f t="shared" si="3"/>
        <v>-1</v>
      </c>
      <c r="L12" s="12">
        <f t="shared" si="4"/>
        <v>-1</v>
      </c>
      <c r="M12" s="11">
        <f t="shared" si="7"/>
        <v>-1</v>
      </c>
      <c r="N12" s="11">
        <f t="shared" si="5"/>
        <v>-1</v>
      </c>
      <c r="O12" s="29">
        <f t="shared" si="6"/>
        <v>0.09</v>
      </c>
      <c r="P12" s="29">
        <f t="shared" si="0"/>
        <v>0.08</v>
      </c>
      <c r="Q12" s="29">
        <f t="shared" si="0"/>
        <v>0.1</v>
      </c>
      <c r="R12" s="29">
        <f t="shared" si="0"/>
        <v>0.02</v>
      </c>
      <c r="S12" s="29">
        <f t="shared" si="0"/>
        <v>0.01</v>
      </c>
      <c r="T12" s="29">
        <f t="shared" si="0"/>
        <v>7.0000000000000007E-2</v>
      </c>
      <c r="U12" s="29">
        <f t="shared" si="0"/>
        <v>0.1</v>
      </c>
    </row>
    <row r="13" spans="1:21">
      <c r="A13" s="30">
        <v>6</v>
      </c>
      <c r="B13" s="10">
        <v>-7</v>
      </c>
      <c r="C13" s="10">
        <v>-5</v>
      </c>
      <c r="D13" s="10">
        <v>-10</v>
      </c>
      <c r="E13" s="10">
        <v>-7</v>
      </c>
      <c r="F13" s="10">
        <v>-10</v>
      </c>
      <c r="G13" s="10">
        <v>-9</v>
      </c>
      <c r="H13" s="10">
        <v>-8</v>
      </c>
      <c r="I13" s="10">
        <f t="shared" si="1"/>
        <v>-1.5499999999999998</v>
      </c>
      <c r="J13" s="10">
        <f t="shared" si="2"/>
        <v>-1</v>
      </c>
      <c r="K13" s="10">
        <f t="shared" si="3"/>
        <v>-1</v>
      </c>
      <c r="L13" s="12">
        <f t="shared" si="4"/>
        <v>-1</v>
      </c>
      <c r="M13" s="11">
        <f t="shared" si="7"/>
        <v>-1</v>
      </c>
      <c r="N13" s="11">
        <f t="shared" si="5"/>
        <v>-1</v>
      </c>
      <c r="O13" s="29">
        <f t="shared" si="6"/>
        <v>7.0000000000000007E-2</v>
      </c>
      <c r="P13" s="29">
        <f t="shared" si="0"/>
        <v>0.05</v>
      </c>
      <c r="Q13" s="29">
        <f t="shared" si="0"/>
        <v>0.1</v>
      </c>
      <c r="R13" s="29">
        <f t="shared" si="0"/>
        <v>7.0000000000000007E-2</v>
      </c>
      <c r="S13" s="29">
        <f t="shared" si="0"/>
        <v>0.1</v>
      </c>
      <c r="T13" s="29">
        <f t="shared" si="0"/>
        <v>0.09</v>
      </c>
      <c r="U13" s="29">
        <f t="shared" si="0"/>
        <v>0.08</v>
      </c>
    </row>
    <row r="14" spans="1:21">
      <c r="A14" s="30">
        <v>7</v>
      </c>
      <c r="B14" s="10">
        <v>-8</v>
      </c>
      <c r="C14" s="10">
        <v>-5</v>
      </c>
      <c r="D14" s="10">
        <v>-10</v>
      </c>
      <c r="E14" s="10">
        <v>-10</v>
      </c>
      <c r="F14" s="10">
        <v>10</v>
      </c>
      <c r="G14" s="10">
        <v>3</v>
      </c>
      <c r="H14" s="10">
        <v>-5</v>
      </c>
      <c r="I14" s="10">
        <f t="shared" si="1"/>
        <v>-4.2900000000000009</v>
      </c>
      <c r="J14" s="10">
        <f t="shared" si="2"/>
        <v>-1</v>
      </c>
      <c r="K14" s="10">
        <f t="shared" si="3"/>
        <v>-1</v>
      </c>
      <c r="L14" s="12">
        <f t="shared" si="4"/>
        <v>-1</v>
      </c>
      <c r="M14" s="11">
        <f t="shared" si="7"/>
        <v>-1</v>
      </c>
      <c r="N14" s="11">
        <f t="shared" si="5"/>
        <v>-1</v>
      </c>
      <c r="O14" s="29">
        <f t="shared" si="6"/>
        <v>0.08</v>
      </c>
      <c r="P14" s="29">
        <f t="shared" si="0"/>
        <v>0.05</v>
      </c>
      <c r="Q14" s="29">
        <f t="shared" si="0"/>
        <v>0.1</v>
      </c>
      <c r="R14" s="29">
        <f t="shared" si="0"/>
        <v>0.1</v>
      </c>
      <c r="S14" s="29">
        <f t="shared" si="0"/>
        <v>-0.1</v>
      </c>
      <c r="T14" s="29">
        <f t="shared" si="0"/>
        <v>-0.03</v>
      </c>
      <c r="U14" s="29">
        <f t="shared" si="0"/>
        <v>0.05</v>
      </c>
    </row>
    <row r="15" spans="1:21">
      <c r="A15" s="30">
        <v>8</v>
      </c>
      <c r="B15" s="10">
        <v>10</v>
      </c>
      <c r="C15" s="10">
        <v>-5</v>
      </c>
      <c r="D15" s="10">
        <v>-10</v>
      </c>
      <c r="E15" s="10">
        <v>-7</v>
      </c>
      <c r="F15" s="10">
        <v>-9</v>
      </c>
      <c r="G15" s="10">
        <v>-4</v>
      </c>
      <c r="H15" s="10">
        <v>-10</v>
      </c>
      <c r="I15" s="10">
        <f t="shared" si="1"/>
        <v>0.90000000000000024</v>
      </c>
      <c r="J15" s="10">
        <f t="shared" si="2"/>
        <v>1</v>
      </c>
      <c r="K15" s="10">
        <f t="shared" si="3"/>
        <v>1</v>
      </c>
      <c r="L15" s="12">
        <f t="shared" si="4"/>
        <v>1</v>
      </c>
      <c r="M15" s="11">
        <f t="shared" si="7"/>
        <v>-1</v>
      </c>
      <c r="N15" s="11">
        <f t="shared" si="5"/>
        <v>-1</v>
      </c>
      <c r="O15" s="29">
        <f t="shared" si="6"/>
        <v>-0.1</v>
      </c>
      <c r="P15" s="29">
        <f t="shared" si="0"/>
        <v>0.05</v>
      </c>
      <c r="Q15" s="29">
        <f t="shared" si="0"/>
        <v>0.1</v>
      </c>
      <c r="R15" s="29">
        <f t="shared" si="0"/>
        <v>7.0000000000000007E-2</v>
      </c>
      <c r="S15" s="29">
        <f t="shared" si="0"/>
        <v>0.09</v>
      </c>
      <c r="T15" s="29">
        <f t="shared" si="0"/>
        <v>0.04</v>
      </c>
      <c r="U15" s="29">
        <f t="shared" si="0"/>
        <v>0.1</v>
      </c>
    </row>
    <row r="16" spans="1:21">
      <c r="A16" s="30">
        <v>9</v>
      </c>
      <c r="B16" s="10">
        <v>-1</v>
      </c>
      <c r="C16" s="10">
        <v>-8</v>
      </c>
      <c r="D16" s="10">
        <v>-10</v>
      </c>
      <c r="E16" s="10">
        <v>-8</v>
      </c>
      <c r="F16" s="10">
        <v>-6</v>
      </c>
      <c r="G16" s="10">
        <v>-9</v>
      </c>
      <c r="H16" s="10">
        <v>-9</v>
      </c>
      <c r="I16" s="10">
        <f t="shared" si="1"/>
        <v>-1.3799999999999997</v>
      </c>
      <c r="J16" s="10">
        <f t="shared" si="2"/>
        <v>-1</v>
      </c>
      <c r="K16" s="10">
        <f t="shared" si="3"/>
        <v>-1</v>
      </c>
      <c r="L16" s="12">
        <f t="shared" si="4"/>
        <v>-1</v>
      </c>
      <c r="M16" s="11">
        <f t="shared" si="7"/>
        <v>-1</v>
      </c>
      <c r="N16" s="11">
        <f t="shared" si="5"/>
        <v>-1</v>
      </c>
      <c r="O16" s="29">
        <f t="shared" si="6"/>
        <v>0.01</v>
      </c>
      <c r="P16" s="29">
        <f t="shared" si="0"/>
        <v>0.08</v>
      </c>
      <c r="Q16" s="29">
        <f t="shared" si="0"/>
        <v>0.1</v>
      </c>
      <c r="R16" s="29">
        <f t="shared" si="0"/>
        <v>0.08</v>
      </c>
      <c r="S16" s="29">
        <f t="shared" si="0"/>
        <v>0.06</v>
      </c>
      <c r="T16" s="29">
        <f t="shared" si="0"/>
        <v>0.09</v>
      </c>
      <c r="U16" s="29">
        <f t="shared" si="0"/>
        <v>0.09</v>
      </c>
    </row>
    <row r="17" spans="1:21">
      <c r="A17" s="30">
        <v>10</v>
      </c>
      <c r="B17" s="10">
        <v>10</v>
      </c>
      <c r="C17" s="10">
        <v>-1</v>
      </c>
      <c r="D17" s="10">
        <v>-7</v>
      </c>
      <c r="E17" s="10">
        <v>-10</v>
      </c>
      <c r="F17" s="10">
        <v>-3</v>
      </c>
      <c r="G17" s="10">
        <v>3</v>
      </c>
      <c r="H17" s="10">
        <v>-5</v>
      </c>
      <c r="I17" s="10">
        <f t="shared" si="1"/>
        <v>-0.5</v>
      </c>
      <c r="J17" s="10">
        <f t="shared" si="2"/>
        <v>-1</v>
      </c>
      <c r="K17" s="10">
        <f t="shared" si="3"/>
        <v>-1</v>
      </c>
      <c r="L17" s="12">
        <f t="shared" si="4"/>
        <v>-1</v>
      </c>
      <c r="M17" s="11">
        <f t="shared" si="7"/>
        <v>-1</v>
      </c>
      <c r="N17" s="11">
        <f t="shared" si="5"/>
        <v>-1</v>
      </c>
      <c r="O17" s="29">
        <f t="shared" si="6"/>
        <v>-0.1</v>
      </c>
      <c r="P17" s="29">
        <f t="shared" si="0"/>
        <v>0.01</v>
      </c>
      <c r="Q17" s="29">
        <f t="shared" si="0"/>
        <v>7.0000000000000007E-2</v>
      </c>
      <c r="R17" s="29">
        <f t="shared" si="0"/>
        <v>0.1</v>
      </c>
      <c r="S17" s="29">
        <f t="shared" si="0"/>
        <v>0.03</v>
      </c>
      <c r="T17" s="29">
        <f t="shared" si="0"/>
        <v>-0.03</v>
      </c>
      <c r="U17" s="29">
        <f t="shared" si="0"/>
        <v>0.05</v>
      </c>
    </row>
    <row r="18" spans="1:21">
      <c r="A18" s="30">
        <v>11</v>
      </c>
      <c r="B18" s="10">
        <v>-1</v>
      </c>
      <c r="C18" s="10">
        <v>-2</v>
      </c>
      <c r="D18" s="10">
        <v>2</v>
      </c>
      <c r="E18" s="10">
        <v>1</v>
      </c>
      <c r="F18" s="10">
        <v>-5</v>
      </c>
      <c r="G18" s="10">
        <v>-2</v>
      </c>
      <c r="H18" s="10">
        <v>-2</v>
      </c>
      <c r="I18" s="10">
        <f t="shared" si="1"/>
        <v>0.95000000000000007</v>
      </c>
      <c r="J18" s="10">
        <f t="shared" si="2"/>
        <v>1</v>
      </c>
      <c r="K18" s="10">
        <f t="shared" si="3"/>
        <v>1</v>
      </c>
      <c r="L18" s="12">
        <f t="shared" si="4"/>
        <v>1</v>
      </c>
      <c r="M18" s="11">
        <f t="shared" si="7"/>
        <v>-1</v>
      </c>
      <c r="N18" s="11">
        <f t="shared" si="5"/>
        <v>-1</v>
      </c>
      <c r="O18" s="29">
        <f t="shared" si="6"/>
        <v>0.01</v>
      </c>
      <c r="P18" s="29">
        <f t="shared" si="0"/>
        <v>0.02</v>
      </c>
      <c r="Q18" s="29">
        <f t="shared" si="0"/>
        <v>-0.02</v>
      </c>
      <c r="R18" s="29">
        <f t="shared" si="0"/>
        <v>-0.01</v>
      </c>
      <c r="S18" s="29">
        <f t="shared" si="0"/>
        <v>0.05</v>
      </c>
      <c r="T18" s="29">
        <f t="shared" si="0"/>
        <v>0.02</v>
      </c>
      <c r="U18" s="29">
        <f t="shared" si="0"/>
        <v>0.02</v>
      </c>
    </row>
    <row r="19" spans="1:21">
      <c r="A19" s="30">
        <v>12</v>
      </c>
      <c r="B19" s="10">
        <v>-10</v>
      </c>
      <c r="C19" s="10">
        <v>-10</v>
      </c>
      <c r="D19" s="10">
        <v>-4</v>
      </c>
      <c r="E19" s="10">
        <v>-9</v>
      </c>
      <c r="F19" s="10">
        <v>3</v>
      </c>
      <c r="G19" s="10">
        <v>2</v>
      </c>
      <c r="H19" s="10">
        <v>-10</v>
      </c>
      <c r="I19" s="10">
        <f t="shared" si="1"/>
        <v>-2.61</v>
      </c>
      <c r="J19" s="10">
        <f t="shared" si="2"/>
        <v>-1</v>
      </c>
      <c r="K19" s="10">
        <f t="shared" si="3"/>
        <v>-1</v>
      </c>
      <c r="L19" s="12">
        <f t="shared" si="4"/>
        <v>-1</v>
      </c>
      <c r="M19" s="11">
        <f t="shared" si="7"/>
        <v>-1</v>
      </c>
      <c r="N19" s="11">
        <f t="shared" si="5"/>
        <v>-1</v>
      </c>
      <c r="O19" s="29">
        <f t="shared" si="6"/>
        <v>0.1</v>
      </c>
      <c r="P19" s="29">
        <f t="shared" si="0"/>
        <v>0.1</v>
      </c>
      <c r="Q19" s="29">
        <f t="shared" si="0"/>
        <v>0.04</v>
      </c>
      <c r="R19" s="29">
        <f t="shared" si="0"/>
        <v>0.09</v>
      </c>
      <c r="S19" s="29">
        <f t="shared" si="0"/>
        <v>-0.03</v>
      </c>
      <c r="T19" s="29">
        <f t="shared" si="0"/>
        <v>-0.02</v>
      </c>
      <c r="U19" s="29">
        <f t="shared" si="0"/>
        <v>0.1</v>
      </c>
    </row>
    <row r="20" spans="1:21">
      <c r="A20" s="30">
        <v>13</v>
      </c>
      <c r="B20" s="10">
        <v>-2</v>
      </c>
      <c r="C20" s="10">
        <v>-8</v>
      </c>
      <c r="D20" s="10">
        <v>10</v>
      </c>
      <c r="E20" s="10">
        <v>-1</v>
      </c>
      <c r="F20" s="10">
        <v>-9</v>
      </c>
      <c r="G20" s="10">
        <v>-9</v>
      </c>
      <c r="H20" s="10">
        <v>-10</v>
      </c>
      <c r="I20" s="10">
        <f t="shared" si="1"/>
        <v>1.3200000000000003</v>
      </c>
      <c r="J20" s="10">
        <f t="shared" si="2"/>
        <v>1</v>
      </c>
      <c r="K20" s="10">
        <f t="shared" si="3"/>
        <v>1</v>
      </c>
      <c r="L20" s="12">
        <f t="shared" si="4"/>
        <v>1</v>
      </c>
      <c r="M20" s="11">
        <f t="shared" si="7"/>
        <v>-1</v>
      </c>
      <c r="N20" s="11">
        <f t="shared" si="5"/>
        <v>-1</v>
      </c>
      <c r="O20" s="29">
        <f t="shared" si="6"/>
        <v>0.02</v>
      </c>
      <c r="P20" s="29">
        <f t="shared" si="0"/>
        <v>0.08</v>
      </c>
      <c r="Q20" s="29">
        <f t="shared" si="0"/>
        <v>-0.1</v>
      </c>
      <c r="R20" s="29">
        <f t="shared" si="0"/>
        <v>0.01</v>
      </c>
      <c r="S20" s="29">
        <f t="shared" si="0"/>
        <v>0.09</v>
      </c>
      <c r="T20" s="29">
        <f t="shared" si="0"/>
        <v>0.09</v>
      </c>
      <c r="U20" s="29">
        <f t="shared" si="0"/>
        <v>0.1</v>
      </c>
    </row>
    <row r="21" spans="1:21">
      <c r="A21" s="30">
        <v>14</v>
      </c>
      <c r="B21" s="10">
        <v>10</v>
      </c>
      <c r="C21" s="10">
        <v>-9</v>
      </c>
      <c r="D21" s="10">
        <v>-8</v>
      </c>
      <c r="E21" s="10">
        <v>2</v>
      </c>
      <c r="F21" s="10">
        <v>-8</v>
      </c>
      <c r="G21" s="10">
        <v>-9</v>
      </c>
      <c r="H21" s="10">
        <v>-10</v>
      </c>
      <c r="I21" s="10">
        <f t="shared" si="1"/>
        <v>2.9</v>
      </c>
      <c r="J21" s="10">
        <f t="shared" si="2"/>
        <v>1</v>
      </c>
      <c r="K21" s="10">
        <f t="shared" si="3"/>
        <v>1</v>
      </c>
      <c r="L21" s="12">
        <f t="shared" si="4"/>
        <v>1</v>
      </c>
      <c r="M21" s="11">
        <f t="shared" si="7"/>
        <v>-1</v>
      </c>
      <c r="N21" s="11">
        <f t="shared" si="5"/>
        <v>-1</v>
      </c>
      <c r="O21" s="29">
        <f t="shared" si="6"/>
        <v>-0.1</v>
      </c>
      <c r="P21" s="29">
        <f t="shared" si="0"/>
        <v>0.09</v>
      </c>
      <c r="Q21" s="29">
        <f t="shared" si="0"/>
        <v>0.08</v>
      </c>
      <c r="R21" s="29">
        <f t="shared" si="0"/>
        <v>-0.02</v>
      </c>
      <c r="S21" s="29">
        <f t="shared" si="0"/>
        <v>0.08</v>
      </c>
      <c r="T21" s="29">
        <f t="shared" si="0"/>
        <v>0.09</v>
      </c>
      <c r="U21" s="29">
        <f t="shared" si="0"/>
        <v>0.1</v>
      </c>
    </row>
    <row r="22" spans="1:21">
      <c r="A22" s="30">
        <v>15</v>
      </c>
      <c r="B22" s="10">
        <v>10</v>
      </c>
      <c r="C22" s="10">
        <v>-9</v>
      </c>
      <c r="D22" s="10">
        <v>4</v>
      </c>
      <c r="E22" s="10">
        <v>-3</v>
      </c>
      <c r="F22" s="10">
        <v>10</v>
      </c>
      <c r="G22" s="10">
        <v>-1</v>
      </c>
      <c r="H22" s="10">
        <v>-7</v>
      </c>
      <c r="I22" s="10">
        <f t="shared" si="1"/>
        <v>6.0000000000000109E-2</v>
      </c>
      <c r="J22" s="10">
        <f t="shared" si="2"/>
        <v>1</v>
      </c>
      <c r="K22" s="10">
        <f t="shared" si="3"/>
        <v>1</v>
      </c>
      <c r="L22" s="12">
        <f t="shared" si="4"/>
        <v>1</v>
      </c>
      <c r="M22" s="11">
        <f t="shared" si="7"/>
        <v>1</v>
      </c>
      <c r="N22" s="11">
        <f t="shared" si="5"/>
        <v>-1</v>
      </c>
      <c r="O22" s="29">
        <f t="shared" si="6"/>
        <v>-0.1</v>
      </c>
      <c r="P22" s="29">
        <f t="shared" si="0"/>
        <v>0.09</v>
      </c>
      <c r="Q22" s="29">
        <f t="shared" si="0"/>
        <v>-0.04</v>
      </c>
      <c r="R22" s="29">
        <f t="shared" si="0"/>
        <v>0.03</v>
      </c>
      <c r="S22" s="29">
        <f t="shared" si="0"/>
        <v>-0.1</v>
      </c>
      <c r="T22" s="29">
        <f t="shared" si="0"/>
        <v>0.01</v>
      </c>
      <c r="U22" s="29">
        <f t="shared" si="0"/>
        <v>7.0000000000000007E-2</v>
      </c>
    </row>
    <row r="23" spans="1:21">
      <c r="A23" s="30">
        <v>16</v>
      </c>
      <c r="B23" s="10">
        <v>-10</v>
      </c>
      <c r="C23" s="10">
        <v>-3</v>
      </c>
      <c r="D23" s="10">
        <v>3</v>
      </c>
      <c r="E23" s="10">
        <v>-5</v>
      </c>
      <c r="F23" s="10">
        <v>-1</v>
      </c>
      <c r="G23" s="10">
        <v>-2</v>
      </c>
      <c r="H23" s="10">
        <v>2</v>
      </c>
      <c r="I23" s="10">
        <f t="shared" si="1"/>
        <v>-2.29</v>
      </c>
      <c r="J23" s="10">
        <f t="shared" si="2"/>
        <v>-1</v>
      </c>
      <c r="K23" s="10">
        <f t="shared" si="3"/>
        <v>-1</v>
      </c>
      <c r="L23" s="12">
        <f t="shared" si="4"/>
        <v>-1</v>
      </c>
      <c r="M23" s="11">
        <f t="shared" si="7"/>
        <v>-1</v>
      </c>
      <c r="N23" s="11">
        <f t="shared" si="5"/>
        <v>-1</v>
      </c>
      <c r="O23" s="29">
        <f t="shared" si="6"/>
        <v>0.1</v>
      </c>
      <c r="P23" s="29">
        <f t="shared" si="0"/>
        <v>0.03</v>
      </c>
      <c r="Q23" s="29">
        <f t="shared" si="0"/>
        <v>-0.03</v>
      </c>
      <c r="R23" s="29">
        <f t="shared" si="0"/>
        <v>0.05</v>
      </c>
      <c r="S23" s="29">
        <f t="shared" si="0"/>
        <v>0.01</v>
      </c>
      <c r="T23" s="29">
        <f t="shared" si="0"/>
        <v>0.02</v>
      </c>
      <c r="U23" s="29">
        <f t="shared" si="0"/>
        <v>-0.02</v>
      </c>
    </row>
    <row r="24" spans="1:21">
      <c r="A24" s="30">
        <v>17</v>
      </c>
      <c r="B24" s="10">
        <v>1</v>
      </c>
      <c r="C24" s="10">
        <v>-5</v>
      </c>
      <c r="D24" s="10">
        <v>-2</v>
      </c>
      <c r="E24" s="10">
        <v>-2</v>
      </c>
      <c r="F24" s="10">
        <v>-10</v>
      </c>
      <c r="G24" s="10">
        <v>-10</v>
      </c>
      <c r="H24" s="10">
        <v>-4</v>
      </c>
      <c r="I24" s="10">
        <f t="shared" si="1"/>
        <v>0.6100000000000001</v>
      </c>
      <c r="J24" s="10">
        <f t="shared" si="2"/>
        <v>1</v>
      </c>
      <c r="K24" s="10">
        <f t="shared" si="3"/>
        <v>1</v>
      </c>
      <c r="L24" s="10">
        <f t="shared" si="4"/>
        <v>1</v>
      </c>
      <c r="M24" s="11">
        <f t="shared" si="7"/>
        <v>-1</v>
      </c>
      <c r="N24" s="11">
        <f t="shared" si="5"/>
        <v>-1</v>
      </c>
      <c r="O24" s="29">
        <f t="shared" si="6"/>
        <v>-0.01</v>
      </c>
      <c r="P24" s="29">
        <f t="shared" si="6"/>
        <v>0.05</v>
      </c>
      <c r="Q24" s="29">
        <f t="shared" si="6"/>
        <v>0.02</v>
      </c>
      <c r="R24" s="29">
        <f t="shared" si="6"/>
        <v>0.02</v>
      </c>
      <c r="S24" s="29">
        <f t="shared" si="6"/>
        <v>0.1</v>
      </c>
      <c r="T24" s="29">
        <f t="shared" si="6"/>
        <v>0.1</v>
      </c>
      <c r="U24" s="29">
        <f t="shared" ref="U24:U57" si="8">$E$1*$N24*H24</f>
        <v>0.04</v>
      </c>
    </row>
    <row r="25" spans="1:21">
      <c r="A25" s="30">
        <v>18</v>
      </c>
      <c r="B25" s="10">
        <v>-9</v>
      </c>
      <c r="C25" s="10">
        <v>3</v>
      </c>
      <c r="D25" s="10">
        <v>2</v>
      </c>
      <c r="E25" s="10">
        <v>-10</v>
      </c>
      <c r="F25" s="10">
        <v>-6</v>
      </c>
      <c r="G25" s="10">
        <v>-2</v>
      </c>
      <c r="H25" s="10">
        <v>2</v>
      </c>
      <c r="I25" s="10">
        <f t="shared" si="1"/>
        <v>-3.17</v>
      </c>
      <c r="J25" s="10">
        <f t="shared" si="2"/>
        <v>-1</v>
      </c>
      <c r="K25" s="10">
        <f t="shared" si="3"/>
        <v>-1</v>
      </c>
      <c r="L25" s="10">
        <f t="shared" si="4"/>
        <v>-1</v>
      </c>
      <c r="M25" s="11">
        <f t="shared" si="7"/>
        <v>-1</v>
      </c>
      <c r="N25" s="11">
        <f t="shared" si="5"/>
        <v>-1</v>
      </c>
      <c r="O25" s="29">
        <f t="shared" si="6"/>
        <v>0.09</v>
      </c>
      <c r="P25" s="29">
        <f t="shared" si="6"/>
        <v>-0.03</v>
      </c>
      <c r="Q25" s="29">
        <f t="shared" si="6"/>
        <v>-0.02</v>
      </c>
      <c r="R25" s="29">
        <f t="shared" si="6"/>
        <v>0.1</v>
      </c>
      <c r="S25" s="29">
        <f t="shared" si="6"/>
        <v>0.06</v>
      </c>
      <c r="T25" s="29">
        <f t="shared" si="6"/>
        <v>0.02</v>
      </c>
      <c r="U25" s="29">
        <f t="shared" si="8"/>
        <v>-0.02</v>
      </c>
    </row>
    <row r="26" spans="1:21">
      <c r="A26" s="30">
        <v>19</v>
      </c>
      <c r="B26" s="10">
        <v>-10</v>
      </c>
      <c r="C26" s="10">
        <v>0</v>
      </c>
      <c r="D26" s="10">
        <v>-5</v>
      </c>
      <c r="E26" s="10">
        <v>-10</v>
      </c>
      <c r="F26" s="10">
        <v>10</v>
      </c>
      <c r="G26" s="10">
        <v>7</v>
      </c>
      <c r="H26" s="10">
        <v>-7</v>
      </c>
      <c r="I26" s="10">
        <f t="shared" si="1"/>
        <v>-4.2700000000000005</v>
      </c>
      <c r="J26" s="10">
        <f t="shared" si="2"/>
        <v>-1</v>
      </c>
      <c r="K26" s="10">
        <f t="shared" si="3"/>
        <v>-1</v>
      </c>
      <c r="L26" s="10">
        <f t="shared" si="4"/>
        <v>-1</v>
      </c>
      <c r="M26" s="11">
        <f t="shared" si="7"/>
        <v>-1</v>
      </c>
      <c r="N26" s="11">
        <f t="shared" si="5"/>
        <v>-1</v>
      </c>
      <c r="O26" s="29">
        <f t="shared" si="6"/>
        <v>0.1</v>
      </c>
      <c r="P26" s="29">
        <f t="shared" si="6"/>
        <v>0</v>
      </c>
      <c r="Q26" s="29">
        <f t="shared" si="6"/>
        <v>0.05</v>
      </c>
      <c r="R26" s="29">
        <f t="shared" si="6"/>
        <v>0.1</v>
      </c>
      <c r="S26" s="29">
        <f t="shared" si="6"/>
        <v>-0.1</v>
      </c>
      <c r="T26" s="29">
        <f t="shared" si="6"/>
        <v>-7.0000000000000007E-2</v>
      </c>
      <c r="U26" s="29">
        <f t="shared" si="8"/>
        <v>7.0000000000000007E-2</v>
      </c>
    </row>
    <row r="27" spans="1:21">
      <c r="A27" s="30">
        <v>20</v>
      </c>
      <c r="B27" s="10">
        <v>-1</v>
      </c>
      <c r="C27" s="10">
        <v>1</v>
      </c>
      <c r="D27" s="10">
        <v>4</v>
      </c>
      <c r="E27" s="10">
        <v>0</v>
      </c>
      <c r="F27" s="10">
        <v>10</v>
      </c>
      <c r="G27" s="10">
        <v>-10</v>
      </c>
      <c r="H27" s="10">
        <v>-10</v>
      </c>
      <c r="I27" s="10">
        <f t="shared" si="1"/>
        <v>-1.87</v>
      </c>
      <c r="J27" s="10">
        <f t="shared" si="2"/>
        <v>-1</v>
      </c>
      <c r="K27" s="10">
        <f t="shared" si="3"/>
        <v>-1</v>
      </c>
      <c r="L27" s="10">
        <f t="shared" si="4"/>
        <v>-1</v>
      </c>
      <c r="M27" s="11">
        <f t="shared" si="7"/>
        <v>-1</v>
      </c>
      <c r="N27" s="11">
        <f t="shared" si="5"/>
        <v>-1</v>
      </c>
      <c r="O27" s="29">
        <f t="shared" si="6"/>
        <v>0.01</v>
      </c>
      <c r="P27" s="29">
        <f t="shared" si="6"/>
        <v>-0.01</v>
      </c>
      <c r="Q27" s="29">
        <f t="shared" si="6"/>
        <v>-0.04</v>
      </c>
      <c r="R27" s="29">
        <f t="shared" si="6"/>
        <v>0</v>
      </c>
      <c r="S27" s="29">
        <f t="shared" si="6"/>
        <v>-0.1</v>
      </c>
      <c r="T27" s="29">
        <f t="shared" si="6"/>
        <v>0.1</v>
      </c>
      <c r="U27" s="29">
        <f t="shared" si="8"/>
        <v>0.1</v>
      </c>
    </row>
    <row r="28" spans="1:21">
      <c r="A28" s="30">
        <v>21</v>
      </c>
      <c r="B28" s="10">
        <v>5</v>
      </c>
      <c r="C28" s="10">
        <v>-8</v>
      </c>
      <c r="D28" s="10">
        <v>-10</v>
      </c>
      <c r="E28" s="10">
        <v>-7</v>
      </c>
      <c r="F28" s="10">
        <v>-9</v>
      </c>
      <c r="G28" s="10">
        <v>-8</v>
      </c>
      <c r="H28" s="10">
        <v>-10</v>
      </c>
      <c r="I28" s="10">
        <f t="shared" si="1"/>
        <v>0.15000000000000036</v>
      </c>
      <c r="J28" s="10">
        <f t="shared" si="2"/>
        <v>1</v>
      </c>
      <c r="K28" s="10">
        <f t="shared" si="3"/>
        <v>1</v>
      </c>
      <c r="L28" s="10">
        <f t="shared" si="4"/>
        <v>1</v>
      </c>
      <c r="M28" s="11">
        <f t="shared" si="7"/>
        <v>-1</v>
      </c>
      <c r="N28" s="11">
        <f t="shared" si="5"/>
        <v>-1</v>
      </c>
      <c r="O28" s="29">
        <f t="shared" si="6"/>
        <v>-0.05</v>
      </c>
      <c r="P28" s="29">
        <f t="shared" si="6"/>
        <v>0.08</v>
      </c>
      <c r="Q28" s="29">
        <f t="shared" si="6"/>
        <v>0.1</v>
      </c>
      <c r="R28" s="29">
        <f t="shared" si="6"/>
        <v>7.0000000000000007E-2</v>
      </c>
      <c r="S28" s="29">
        <f t="shared" si="6"/>
        <v>0.09</v>
      </c>
      <c r="T28" s="29">
        <f t="shared" si="6"/>
        <v>0.08</v>
      </c>
      <c r="U28" s="29">
        <f t="shared" si="8"/>
        <v>0.1</v>
      </c>
    </row>
    <row r="29" spans="1:21">
      <c r="A29" s="30">
        <v>22</v>
      </c>
      <c r="B29" s="10">
        <v>-2</v>
      </c>
      <c r="C29" s="10">
        <v>-1</v>
      </c>
      <c r="D29" s="10">
        <v>-7</v>
      </c>
      <c r="E29" s="10">
        <v>-10</v>
      </c>
      <c r="F29" s="10">
        <v>-7</v>
      </c>
      <c r="G29" s="10">
        <v>-5</v>
      </c>
      <c r="H29" s="10">
        <v>-10</v>
      </c>
      <c r="I29" s="10">
        <f t="shared" si="1"/>
        <v>-1.8499999999999996</v>
      </c>
      <c r="J29" s="10">
        <f t="shared" si="2"/>
        <v>-1</v>
      </c>
      <c r="K29" s="10">
        <f t="shared" si="3"/>
        <v>-1</v>
      </c>
      <c r="L29" s="10">
        <f t="shared" si="4"/>
        <v>-1</v>
      </c>
      <c r="M29" s="11">
        <f t="shared" si="7"/>
        <v>-1</v>
      </c>
      <c r="N29" s="11">
        <f t="shared" si="5"/>
        <v>-1</v>
      </c>
      <c r="O29" s="29">
        <f t="shared" si="6"/>
        <v>0.02</v>
      </c>
      <c r="P29" s="29">
        <f t="shared" si="6"/>
        <v>0.01</v>
      </c>
      <c r="Q29" s="29">
        <f t="shared" si="6"/>
        <v>7.0000000000000007E-2</v>
      </c>
      <c r="R29" s="29">
        <f t="shared" si="6"/>
        <v>0.1</v>
      </c>
      <c r="S29" s="29">
        <f t="shared" si="6"/>
        <v>7.0000000000000007E-2</v>
      </c>
      <c r="T29" s="29">
        <f t="shared" si="6"/>
        <v>0.05</v>
      </c>
      <c r="U29" s="29">
        <f t="shared" si="8"/>
        <v>0.1</v>
      </c>
    </row>
    <row r="30" spans="1:21">
      <c r="A30" s="30">
        <v>23</v>
      </c>
      <c r="B30" s="10">
        <v>-7</v>
      </c>
      <c r="C30" s="10">
        <v>-10</v>
      </c>
      <c r="D30" s="10">
        <v>-9</v>
      </c>
      <c r="E30" s="10">
        <v>-8</v>
      </c>
      <c r="F30" s="10">
        <v>-8</v>
      </c>
      <c r="G30" s="10">
        <v>-5</v>
      </c>
      <c r="H30" s="10">
        <v>-10</v>
      </c>
      <c r="I30" s="10">
        <f t="shared" si="1"/>
        <v>-1.24</v>
      </c>
      <c r="J30" s="10">
        <f t="shared" si="2"/>
        <v>-1</v>
      </c>
      <c r="K30" s="10">
        <f t="shared" si="3"/>
        <v>-1</v>
      </c>
      <c r="L30" s="10">
        <f t="shared" si="4"/>
        <v>-1</v>
      </c>
      <c r="M30" s="11">
        <f t="shared" si="7"/>
        <v>-1</v>
      </c>
      <c r="N30" s="11">
        <f t="shared" si="5"/>
        <v>-1</v>
      </c>
      <c r="O30" s="29">
        <f t="shared" si="6"/>
        <v>7.0000000000000007E-2</v>
      </c>
      <c r="P30" s="29">
        <f t="shared" si="6"/>
        <v>0.1</v>
      </c>
      <c r="Q30" s="29">
        <f t="shared" si="6"/>
        <v>0.09</v>
      </c>
      <c r="R30" s="29">
        <f t="shared" si="6"/>
        <v>0.08</v>
      </c>
      <c r="S30" s="29">
        <f t="shared" si="6"/>
        <v>0.08</v>
      </c>
      <c r="T30" s="29">
        <f t="shared" si="6"/>
        <v>0.05</v>
      </c>
      <c r="U30" s="29">
        <f t="shared" si="8"/>
        <v>0.1</v>
      </c>
    </row>
    <row r="31" spans="1:21">
      <c r="A31" s="30">
        <v>24</v>
      </c>
      <c r="B31" s="10">
        <v>-10</v>
      </c>
      <c r="C31" s="10">
        <v>10</v>
      </c>
      <c r="D31" s="10">
        <v>3</v>
      </c>
      <c r="E31" s="10">
        <v>-5</v>
      </c>
      <c r="F31" s="10">
        <v>10</v>
      </c>
      <c r="G31" s="10">
        <v>-5</v>
      </c>
      <c r="H31" s="10">
        <v>-10</v>
      </c>
      <c r="I31" s="10">
        <f t="shared" si="1"/>
        <v>-4.41</v>
      </c>
      <c r="J31" s="10">
        <f t="shared" si="2"/>
        <v>-1</v>
      </c>
      <c r="K31" s="10">
        <f t="shared" si="3"/>
        <v>-1</v>
      </c>
      <c r="L31" s="10">
        <f t="shared" si="4"/>
        <v>-1</v>
      </c>
      <c r="M31" s="11">
        <f t="shared" si="7"/>
        <v>1</v>
      </c>
      <c r="N31" s="11">
        <f t="shared" si="5"/>
        <v>-1</v>
      </c>
      <c r="O31" s="29">
        <f t="shared" si="6"/>
        <v>0.1</v>
      </c>
      <c r="P31" s="29">
        <f t="shared" si="6"/>
        <v>-0.1</v>
      </c>
      <c r="Q31" s="29">
        <f t="shared" si="6"/>
        <v>-0.03</v>
      </c>
      <c r="R31" s="29">
        <f t="shared" si="6"/>
        <v>0.05</v>
      </c>
      <c r="S31" s="29">
        <f t="shared" si="6"/>
        <v>-0.1</v>
      </c>
      <c r="T31" s="29">
        <f t="shared" si="6"/>
        <v>0.05</v>
      </c>
      <c r="U31" s="29">
        <f t="shared" si="8"/>
        <v>0.1</v>
      </c>
    </row>
    <row r="32" spans="1:21">
      <c r="A32" s="30">
        <v>25</v>
      </c>
      <c r="B32" s="10">
        <v>-7</v>
      </c>
      <c r="C32" s="10">
        <v>-9</v>
      </c>
      <c r="D32" s="10">
        <v>-4</v>
      </c>
      <c r="E32" s="10">
        <v>-10</v>
      </c>
      <c r="F32" s="10">
        <v>-1</v>
      </c>
      <c r="G32" s="10">
        <v>-8</v>
      </c>
      <c r="H32" s="10">
        <v>-10</v>
      </c>
      <c r="I32" s="10">
        <f t="shared" si="1"/>
        <v>-2.91</v>
      </c>
      <c r="J32" s="10">
        <f t="shared" si="2"/>
        <v>-1</v>
      </c>
      <c r="K32" s="10">
        <f t="shared" si="3"/>
        <v>-1</v>
      </c>
      <c r="L32" s="10">
        <f t="shared" si="4"/>
        <v>-1</v>
      </c>
      <c r="M32" s="11">
        <f t="shared" si="7"/>
        <v>-1</v>
      </c>
      <c r="N32" s="11">
        <f t="shared" si="5"/>
        <v>-1</v>
      </c>
      <c r="O32" s="29">
        <f t="shared" si="6"/>
        <v>7.0000000000000007E-2</v>
      </c>
      <c r="P32" s="29">
        <f t="shared" si="6"/>
        <v>0.09</v>
      </c>
      <c r="Q32" s="29">
        <f t="shared" si="6"/>
        <v>0.04</v>
      </c>
      <c r="R32" s="29">
        <f t="shared" si="6"/>
        <v>0.1</v>
      </c>
      <c r="S32" s="29">
        <f t="shared" si="6"/>
        <v>0.01</v>
      </c>
      <c r="T32" s="29">
        <f t="shared" si="6"/>
        <v>0.08</v>
      </c>
      <c r="U32" s="29">
        <f t="shared" si="8"/>
        <v>0.1</v>
      </c>
    </row>
    <row r="33" spans="1:21">
      <c r="A33" s="30">
        <v>26</v>
      </c>
      <c r="B33" s="10">
        <v>-8</v>
      </c>
      <c r="C33" s="10">
        <v>-6</v>
      </c>
      <c r="D33" s="10">
        <v>-9</v>
      </c>
      <c r="E33" s="10">
        <v>-9</v>
      </c>
      <c r="F33" s="10">
        <v>10</v>
      </c>
      <c r="G33" s="10">
        <v>-1</v>
      </c>
      <c r="H33" s="10">
        <v>-7</v>
      </c>
      <c r="I33" s="10">
        <f t="shared" si="1"/>
        <v>-4.2</v>
      </c>
      <c r="J33" s="10">
        <f t="shared" si="2"/>
        <v>-1</v>
      </c>
      <c r="K33" s="10">
        <f t="shared" si="3"/>
        <v>-1</v>
      </c>
      <c r="L33" s="10">
        <f t="shared" si="4"/>
        <v>-1</v>
      </c>
      <c r="M33" s="11">
        <f t="shared" si="7"/>
        <v>-1</v>
      </c>
      <c r="N33" s="11">
        <f t="shared" si="5"/>
        <v>-1</v>
      </c>
      <c r="O33" s="29">
        <f t="shared" si="6"/>
        <v>0.08</v>
      </c>
      <c r="P33" s="29">
        <f t="shared" si="6"/>
        <v>0.06</v>
      </c>
      <c r="Q33" s="29">
        <f t="shared" si="6"/>
        <v>0.09</v>
      </c>
      <c r="R33" s="29">
        <f t="shared" si="6"/>
        <v>0.09</v>
      </c>
      <c r="S33" s="29">
        <f t="shared" si="6"/>
        <v>-0.1</v>
      </c>
      <c r="T33" s="29">
        <f t="shared" si="6"/>
        <v>0.01</v>
      </c>
      <c r="U33" s="29">
        <f t="shared" si="8"/>
        <v>7.0000000000000007E-2</v>
      </c>
    </row>
    <row r="34" spans="1:21">
      <c r="A34" s="30">
        <v>27</v>
      </c>
      <c r="B34" s="10">
        <v>-10</v>
      </c>
      <c r="C34" s="10">
        <v>-3</v>
      </c>
      <c r="D34" s="10">
        <v>3</v>
      </c>
      <c r="E34" s="10">
        <v>-5</v>
      </c>
      <c r="F34" s="10">
        <v>-1</v>
      </c>
      <c r="G34" s="10">
        <v>-2</v>
      </c>
      <c r="H34" s="10">
        <v>2</v>
      </c>
      <c r="I34" s="10">
        <f t="shared" si="1"/>
        <v>-2.29</v>
      </c>
      <c r="J34" s="10">
        <f t="shared" si="2"/>
        <v>-1</v>
      </c>
      <c r="K34" s="10">
        <f t="shared" si="3"/>
        <v>-1</v>
      </c>
      <c r="L34" s="10">
        <f t="shared" si="4"/>
        <v>-1</v>
      </c>
      <c r="M34" s="11">
        <f t="shared" si="7"/>
        <v>-1</v>
      </c>
      <c r="N34" s="11">
        <f t="shared" si="5"/>
        <v>-1</v>
      </c>
      <c r="O34" s="29">
        <f t="shared" si="6"/>
        <v>0.1</v>
      </c>
      <c r="P34" s="29">
        <f t="shared" si="6"/>
        <v>0.03</v>
      </c>
      <c r="Q34" s="29">
        <f t="shared" si="6"/>
        <v>-0.03</v>
      </c>
      <c r="R34" s="29">
        <f t="shared" si="6"/>
        <v>0.05</v>
      </c>
      <c r="S34" s="29">
        <f t="shared" si="6"/>
        <v>0.01</v>
      </c>
      <c r="T34" s="29">
        <f t="shared" si="6"/>
        <v>0.02</v>
      </c>
      <c r="U34" s="29">
        <f t="shared" si="8"/>
        <v>-0.02</v>
      </c>
    </row>
    <row r="35" spans="1:21">
      <c r="A35" s="30">
        <v>28</v>
      </c>
      <c r="B35" s="10">
        <v>1</v>
      </c>
      <c r="C35" s="10">
        <v>-5</v>
      </c>
      <c r="D35" s="10">
        <v>-2</v>
      </c>
      <c r="E35" s="10">
        <v>-2</v>
      </c>
      <c r="F35" s="10">
        <v>-10</v>
      </c>
      <c r="G35" s="10">
        <v>-10</v>
      </c>
      <c r="H35" s="10">
        <v>-4</v>
      </c>
      <c r="I35" s="10">
        <f t="shared" si="1"/>
        <v>0.6100000000000001</v>
      </c>
      <c r="J35" s="10">
        <f t="shared" si="2"/>
        <v>1</v>
      </c>
      <c r="K35" s="10">
        <f t="shared" si="3"/>
        <v>1</v>
      </c>
      <c r="L35" s="10">
        <f t="shared" si="4"/>
        <v>1</v>
      </c>
      <c r="M35" s="11">
        <f t="shared" si="7"/>
        <v>-1</v>
      </c>
      <c r="N35" s="11">
        <f t="shared" si="5"/>
        <v>-1</v>
      </c>
      <c r="O35" s="29">
        <f t="shared" si="6"/>
        <v>-0.01</v>
      </c>
      <c r="P35" s="29">
        <f t="shared" si="6"/>
        <v>0.05</v>
      </c>
      <c r="Q35" s="29">
        <f t="shared" si="6"/>
        <v>0.02</v>
      </c>
      <c r="R35" s="29">
        <f t="shared" si="6"/>
        <v>0.02</v>
      </c>
      <c r="S35" s="29">
        <f t="shared" si="6"/>
        <v>0.1</v>
      </c>
      <c r="T35" s="29">
        <f t="shared" si="6"/>
        <v>0.1</v>
      </c>
      <c r="U35" s="29">
        <f t="shared" si="8"/>
        <v>0.04</v>
      </c>
    </row>
    <row r="36" spans="1:21">
      <c r="A36" s="30">
        <v>29</v>
      </c>
      <c r="B36" s="10">
        <v>-9</v>
      </c>
      <c r="C36" s="10">
        <v>3</v>
      </c>
      <c r="D36" s="10">
        <v>2</v>
      </c>
      <c r="E36" s="10">
        <v>-10</v>
      </c>
      <c r="F36" s="10">
        <v>-6</v>
      </c>
      <c r="G36" s="10">
        <v>-2</v>
      </c>
      <c r="H36" s="10">
        <v>2</v>
      </c>
      <c r="I36" s="10">
        <f t="shared" si="1"/>
        <v>-3.17</v>
      </c>
      <c r="J36" s="10">
        <f t="shared" si="2"/>
        <v>-1</v>
      </c>
      <c r="K36" s="10">
        <f t="shared" si="3"/>
        <v>-1</v>
      </c>
      <c r="L36" s="10">
        <f t="shared" si="4"/>
        <v>-1</v>
      </c>
      <c r="M36" s="11">
        <f t="shared" si="7"/>
        <v>-1</v>
      </c>
      <c r="N36" s="11">
        <f t="shared" si="5"/>
        <v>-1</v>
      </c>
      <c r="O36" s="29">
        <f t="shared" si="6"/>
        <v>0.09</v>
      </c>
      <c r="P36" s="29">
        <f t="shared" si="6"/>
        <v>-0.03</v>
      </c>
      <c r="Q36" s="29">
        <f t="shared" si="6"/>
        <v>-0.02</v>
      </c>
      <c r="R36" s="29">
        <f t="shared" si="6"/>
        <v>0.1</v>
      </c>
      <c r="S36" s="29">
        <f t="shared" si="6"/>
        <v>0.06</v>
      </c>
      <c r="T36" s="29">
        <f t="shared" si="6"/>
        <v>0.02</v>
      </c>
      <c r="U36" s="29">
        <f t="shared" si="8"/>
        <v>-0.02</v>
      </c>
    </row>
    <row r="37" spans="1:21">
      <c r="A37" s="30">
        <v>30</v>
      </c>
      <c r="B37" s="10">
        <v>-10</v>
      </c>
      <c r="C37" s="10">
        <v>0</v>
      </c>
      <c r="D37" s="10">
        <v>-5</v>
      </c>
      <c r="E37" s="10">
        <v>-10</v>
      </c>
      <c r="F37" s="10">
        <v>10</v>
      </c>
      <c r="G37" s="10">
        <v>7</v>
      </c>
      <c r="H37" s="10">
        <v>-7</v>
      </c>
      <c r="I37" s="10">
        <f t="shared" si="1"/>
        <v>-4.2700000000000005</v>
      </c>
      <c r="J37" s="10">
        <f t="shared" si="2"/>
        <v>-1</v>
      </c>
      <c r="K37" s="10">
        <f t="shared" si="3"/>
        <v>-1</v>
      </c>
      <c r="L37" s="10">
        <f t="shared" si="4"/>
        <v>-1</v>
      </c>
      <c r="M37" s="11">
        <f t="shared" si="7"/>
        <v>-1</v>
      </c>
      <c r="N37" s="11">
        <f t="shared" si="5"/>
        <v>-1</v>
      </c>
      <c r="O37" s="29">
        <f t="shared" si="6"/>
        <v>0.1</v>
      </c>
      <c r="P37" s="29">
        <f t="shared" si="6"/>
        <v>0</v>
      </c>
      <c r="Q37" s="29">
        <f t="shared" si="6"/>
        <v>0.05</v>
      </c>
      <c r="R37" s="29">
        <f t="shared" si="6"/>
        <v>0.1</v>
      </c>
      <c r="S37" s="29">
        <f t="shared" si="6"/>
        <v>-0.1</v>
      </c>
      <c r="T37" s="29">
        <f t="shared" si="6"/>
        <v>-7.0000000000000007E-2</v>
      </c>
      <c r="U37" s="29">
        <f t="shared" si="8"/>
        <v>7.0000000000000007E-2</v>
      </c>
    </row>
    <row r="38" spans="1:21">
      <c r="A38" s="30">
        <v>31</v>
      </c>
      <c r="B38" s="10">
        <v>-1</v>
      </c>
      <c r="C38" s="10">
        <v>1</v>
      </c>
      <c r="D38" s="10">
        <v>4</v>
      </c>
      <c r="E38" s="10">
        <v>0</v>
      </c>
      <c r="F38" s="10">
        <v>10</v>
      </c>
      <c r="G38" s="10">
        <v>-10</v>
      </c>
      <c r="H38" s="10">
        <v>-10</v>
      </c>
      <c r="I38" s="10">
        <f t="shared" si="1"/>
        <v>-1.87</v>
      </c>
      <c r="J38" s="10">
        <f t="shared" si="2"/>
        <v>-1</v>
      </c>
      <c r="K38" s="10">
        <f t="shared" si="3"/>
        <v>-1</v>
      </c>
      <c r="L38" s="10">
        <f t="shared" si="4"/>
        <v>-1</v>
      </c>
      <c r="M38" s="11">
        <f t="shared" si="7"/>
        <v>1</v>
      </c>
      <c r="N38" s="11">
        <f t="shared" si="5"/>
        <v>-1</v>
      </c>
      <c r="O38" s="29">
        <f t="shared" si="6"/>
        <v>0.01</v>
      </c>
      <c r="P38" s="29">
        <f t="shared" si="6"/>
        <v>-0.01</v>
      </c>
      <c r="Q38" s="29">
        <f t="shared" si="6"/>
        <v>-0.04</v>
      </c>
      <c r="R38" s="29">
        <f t="shared" si="6"/>
        <v>0</v>
      </c>
      <c r="S38" s="29">
        <f t="shared" si="6"/>
        <v>-0.1</v>
      </c>
      <c r="T38" s="29">
        <f t="shared" si="6"/>
        <v>0.1</v>
      </c>
      <c r="U38" s="29">
        <f t="shared" si="8"/>
        <v>0.1</v>
      </c>
    </row>
    <row r="39" spans="1:21">
      <c r="A39" s="30">
        <v>32</v>
      </c>
      <c r="B39" s="10">
        <v>5</v>
      </c>
      <c r="C39" s="10">
        <v>-8</v>
      </c>
      <c r="D39" s="10">
        <v>-10</v>
      </c>
      <c r="E39" s="10">
        <v>-7</v>
      </c>
      <c r="F39" s="10">
        <v>-9</v>
      </c>
      <c r="G39" s="10">
        <v>-8</v>
      </c>
      <c r="H39" s="10">
        <v>-10</v>
      </c>
      <c r="I39" s="10">
        <f t="shared" si="1"/>
        <v>0.15000000000000036</v>
      </c>
      <c r="J39" s="10">
        <f t="shared" si="2"/>
        <v>1</v>
      </c>
      <c r="K39" s="10">
        <f t="shared" si="3"/>
        <v>1</v>
      </c>
      <c r="L39" s="10">
        <f t="shared" si="4"/>
        <v>1</v>
      </c>
      <c r="M39" s="11">
        <f t="shared" si="7"/>
        <v>-1</v>
      </c>
      <c r="N39" s="11">
        <f t="shared" si="5"/>
        <v>-1</v>
      </c>
      <c r="O39" s="29">
        <f t="shared" si="6"/>
        <v>-0.05</v>
      </c>
      <c r="P39" s="29">
        <f t="shared" si="6"/>
        <v>0.08</v>
      </c>
      <c r="Q39" s="29">
        <f t="shared" si="6"/>
        <v>0.1</v>
      </c>
      <c r="R39" s="29">
        <f t="shared" si="6"/>
        <v>7.0000000000000007E-2</v>
      </c>
      <c r="S39" s="29">
        <f t="shared" si="6"/>
        <v>0.09</v>
      </c>
      <c r="T39" s="29">
        <f t="shared" si="6"/>
        <v>0.08</v>
      </c>
      <c r="U39" s="29">
        <f t="shared" si="8"/>
        <v>0.1</v>
      </c>
    </row>
    <row r="40" spans="1:21">
      <c r="A40" s="30">
        <v>33</v>
      </c>
      <c r="B40" s="10">
        <v>-2</v>
      </c>
      <c r="C40" s="10">
        <v>-1</v>
      </c>
      <c r="D40" s="10">
        <v>-7</v>
      </c>
      <c r="E40" s="10">
        <v>-10</v>
      </c>
      <c r="F40" s="10">
        <v>-7</v>
      </c>
      <c r="G40" s="10">
        <v>-5</v>
      </c>
      <c r="H40" s="10">
        <v>-10</v>
      </c>
      <c r="I40" s="10">
        <f t="shared" si="1"/>
        <v>-1.8499999999999996</v>
      </c>
      <c r="J40" s="10">
        <f t="shared" si="2"/>
        <v>-1</v>
      </c>
      <c r="K40" s="10">
        <f t="shared" si="3"/>
        <v>-1</v>
      </c>
      <c r="L40" s="10">
        <f t="shared" si="4"/>
        <v>-1</v>
      </c>
      <c r="M40" s="11">
        <f t="shared" si="7"/>
        <v>-1</v>
      </c>
      <c r="N40" s="11">
        <f t="shared" si="5"/>
        <v>-1</v>
      </c>
      <c r="O40" s="29">
        <f t="shared" si="6"/>
        <v>0.02</v>
      </c>
      <c r="P40" s="29">
        <f t="shared" si="6"/>
        <v>0.01</v>
      </c>
      <c r="Q40" s="29">
        <f t="shared" si="6"/>
        <v>7.0000000000000007E-2</v>
      </c>
      <c r="R40" s="29">
        <f t="shared" si="6"/>
        <v>0.1</v>
      </c>
      <c r="S40" s="29">
        <f t="shared" si="6"/>
        <v>7.0000000000000007E-2</v>
      </c>
      <c r="T40" s="29">
        <f t="shared" si="6"/>
        <v>0.05</v>
      </c>
      <c r="U40" s="29">
        <f t="shared" si="8"/>
        <v>0.1</v>
      </c>
    </row>
    <row r="41" spans="1:21">
      <c r="A41" s="30">
        <v>34</v>
      </c>
      <c r="B41" s="10">
        <v>-7</v>
      </c>
      <c r="C41" s="10">
        <v>-10</v>
      </c>
      <c r="D41" s="10">
        <v>-9</v>
      </c>
      <c r="E41" s="10">
        <v>-8</v>
      </c>
      <c r="F41" s="10">
        <v>-8</v>
      </c>
      <c r="G41" s="10">
        <v>-5</v>
      </c>
      <c r="H41" s="10">
        <v>-10</v>
      </c>
      <c r="I41" s="10">
        <f t="shared" si="1"/>
        <v>-1.24</v>
      </c>
      <c r="J41" s="10">
        <f t="shared" si="2"/>
        <v>-1</v>
      </c>
      <c r="K41" s="10">
        <f t="shared" si="3"/>
        <v>-1</v>
      </c>
      <c r="L41" s="10">
        <f t="shared" si="4"/>
        <v>-1</v>
      </c>
      <c r="M41" s="11">
        <f t="shared" si="7"/>
        <v>-1</v>
      </c>
      <c r="N41" s="11">
        <f t="shared" si="5"/>
        <v>-1</v>
      </c>
      <c r="O41" s="29">
        <f t="shared" si="6"/>
        <v>7.0000000000000007E-2</v>
      </c>
      <c r="P41" s="29">
        <f t="shared" si="6"/>
        <v>0.1</v>
      </c>
      <c r="Q41" s="29">
        <f t="shared" si="6"/>
        <v>0.09</v>
      </c>
      <c r="R41" s="29">
        <f t="shared" si="6"/>
        <v>0.08</v>
      </c>
      <c r="S41" s="29">
        <f t="shared" si="6"/>
        <v>0.08</v>
      </c>
      <c r="T41" s="29">
        <f t="shared" si="6"/>
        <v>0.05</v>
      </c>
      <c r="U41" s="29">
        <f t="shared" si="8"/>
        <v>0.1</v>
      </c>
    </row>
    <row r="42" spans="1:21">
      <c r="A42" s="30">
        <v>35</v>
      </c>
      <c r="B42" s="10">
        <v>-10</v>
      </c>
      <c r="C42" s="10">
        <v>10</v>
      </c>
      <c r="D42" s="10">
        <v>3</v>
      </c>
      <c r="E42" s="10">
        <v>-5</v>
      </c>
      <c r="F42" s="10">
        <v>10</v>
      </c>
      <c r="G42" s="10">
        <v>-5</v>
      </c>
      <c r="H42" s="10">
        <v>-10</v>
      </c>
      <c r="I42" s="10">
        <f t="shared" si="1"/>
        <v>-4.41</v>
      </c>
      <c r="J42" s="10">
        <f t="shared" si="2"/>
        <v>-1</v>
      </c>
      <c r="K42" s="10">
        <f t="shared" si="3"/>
        <v>-1</v>
      </c>
      <c r="L42" s="10">
        <f t="shared" si="4"/>
        <v>-1</v>
      </c>
      <c r="M42" s="11">
        <f t="shared" si="7"/>
        <v>1</v>
      </c>
      <c r="N42" s="11">
        <f t="shared" si="5"/>
        <v>-1</v>
      </c>
      <c r="O42" s="29">
        <f t="shared" si="6"/>
        <v>0.1</v>
      </c>
      <c r="P42" s="29">
        <f t="shared" si="6"/>
        <v>-0.1</v>
      </c>
      <c r="Q42" s="29">
        <f t="shared" si="6"/>
        <v>-0.03</v>
      </c>
      <c r="R42" s="29">
        <f t="shared" si="6"/>
        <v>0.05</v>
      </c>
      <c r="S42" s="29">
        <f t="shared" si="6"/>
        <v>-0.1</v>
      </c>
      <c r="T42" s="29">
        <f t="shared" si="6"/>
        <v>0.05</v>
      </c>
      <c r="U42" s="29">
        <f t="shared" si="8"/>
        <v>0.1</v>
      </c>
    </row>
    <row r="43" spans="1:21">
      <c r="A43" s="30">
        <v>36</v>
      </c>
      <c r="B43" s="10">
        <v>-7</v>
      </c>
      <c r="C43" s="10">
        <v>-9</v>
      </c>
      <c r="D43" s="10">
        <v>-4</v>
      </c>
      <c r="E43" s="10">
        <v>-10</v>
      </c>
      <c r="F43" s="10">
        <v>-1</v>
      </c>
      <c r="G43" s="10">
        <v>-8</v>
      </c>
      <c r="H43" s="10">
        <v>-10</v>
      </c>
      <c r="I43" s="10">
        <f t="shared" si="1"/>
        <v>-2.91</v>
      </c>
      <c r="J43" s="10">
        <f t="shared" si="2"/>
        <v>-1</v>
      </c>
      <c r="K43" s="10">
        <f t="shared" si="3"/>
        <v>-1</v>
      </c>
      <c r="L43" s="10">
        <f t="shared" si="4"/>
        <v>-1</v>
      </c>
      <c r="M43" s="11">
        <f t="shared" si="7"/>
        <v>-1</v>
      </c>
      <c r="N43" s="11">
        <f t="shared" si="5"/>
        <v>-1</v>
      </c>
      <c r="O43" s="29">
        <f t="shared" si="6"/>
        <v>7.0000000000000007E-2</v>
      </c>
      <c r="P43" s="29">
        <f t="shared" si="6"/>
        <v>0.09</v>
      </c>
      <c r="Q43" s="29">
        <f t="shared" si="6"/>
        <v>0.04</v>
      </c>
      <c r="R43" s="29">
        <f t="shared" si="6"/>
        <v>0.1</v>
      </c>
      <c r="S43" s="29">
        <f t="shared" si="6"/>
        <v>0.01</v>
      </c>
      <c r="T43" s="29">
        <f t="shared" si="6"/>
        <v>0.08</v>
      </c>
      <c r="U43" s="29">
        <f t="shared" si="8"/>
        <v>0.1</v>
      </c>
    </row>
    <row r="44" spans="1:21">
      <c r="A44" s="30">
        <v>37</v>
      </c>
      <c r="B44" s="10">
        <v>-8</v>
      </c>
      <c r="C44" s="10">
        <v>-6</v>
      </c>
      <c r="D44" s="10">
        <v>-9</v>
      </c>
      <c r="E44" s="10">
        <v>-9</v>
      </c>
      <c r="F44" s="10">
        <v>10</v>
      </c>
      <c r="G44" s="10">
        <v>-1</v>
      </c>
      <c r="H44" s="10">
        <v>-7</v>
      </c>
      <c r="I44" s="10">
        <f t="shared" si="1"/>
        <v>-4.2</v>
      </c>
      <c r="J44" s="10">
        <f t="shared" si="2"/>
        <v>-1</v>
      </c>
      <c r="K44" s="10">
        <f t="shared" si="3"/>
        <v>-1</v>
      </c>
      <c r="L44" s="10">
        <f t="shared" si="4"/>
        <v>-1</v>
      </c>
      <c r="M44" s="11">
        <f t="shared" si="7"/>
        <v>-1</v>
      </c>
      <c r="N44" s="11">
        <f t="shared" si="5"/>
        <v>-1</v>
      </c>
      <c r="O44" s="29">
        <f t="shared" si="6"/>
        <v>0.08</v>
      </c>
      <c r="P44" s="29">
        <f t="shared" si="6"/>
        <v>0.06</v>
      </c>
      <c r="Q44" s="29">
        <f t="shared" si="6"/>
        <v>0.09</v>
      </c>
      <c r="R44" s="29">
        <f t="shared" si="6"/>
        <v>0.09</v>
      </c>
      <c r="S44" s="29">
        <f t="shared" si="6"/>
        <v>-0.1</v>
      </c>
      <c r="T44" s="29">
        <f t="shared" si="6"/>
        <v>0.01</v>
      </c>
      <c r="U44" s="29">
        <f t="shared" si="8"/>
        <v>7.0000000000000007E-2</v>
      </c>
    </row>
    <row r="45" spans="1:21">
      <c r="A45" s="30">
        <v>38</v>
      </c>
      <c r="B45" s="10">
        <v>-10</v>
      </c>
      <c r="C45" s="10">
        <v>-3</v>
      </c>
      <c r="D45" s="10">
        <v>3</v>
      </c>
      <c r="E45" s="10">
        <v>-5</v>
      </c>
      <c r="F45" s="10">
        <v>-1</v>
      </c>
      <c r="G45" s="10">
        <v>-2</v>
      </c>
      <c r="H45" s="10">
        <v>2</v>
      </c>
      <c r="I45" s="10">
        <f t="shared" si="1"/>
        <v>-2.29</v>
      </c>
      <c r="J45" s="10">
        <f t="shared" si="2"/>
        <v>-1</v>
      </c>
      <c r="K45" s="10">
        <f t="shared" si="3"/>
        <v>-1</v>
      </c>
      <c r="L45" s="10">
        <f t="shared" si="4"/>
        <v>-1</v>
      </c>
      <c r="M45" s="11">
        <f t="shared" si="7"/>
        <v>1</v>
      </c>
      <c r="N45" s="11">
        <f t="shared" si="5"/>
        <v>-1</v>
      </c>
      <c r="O45" s="29">
        <f t="shared" si="6"/>
        <v>0.1</v>
      </c>
      <c r="P45" s="29">
        <f t="shared" si="6"/>
        <v>0.03</v>
      </c>
      <c r="Q45" s="29">
        <f t="shared" si="6"/>
        <v>-0.03</v>
      </c>
      <c r="R45" s="29">
        <f t="shared" si="6"/>
        <v>0.05</v>
      </c>
      <c r="S45" s="29">
        <f t="shared" si="6"/>
        <v>0.01</v>
      </c>
      <c r="T45" s="29">
        <f t="shared" si="6"/>
        <v>0.02</v>
      </c>
      <c r="U45" s="29">
        <f t="shared" si="8"/>
        <v>-0.02</v>
      </c>
    </row>
    <row r="46" spans="1:21">
      <c r="A46" s="30">
        <v>39</v>
      </c>
      <c r="B46" s="10">
        <v>1</v>
      </c>
      <c r="C46" s="10">
        <v>-5</v>
      </c>
      <c r="D46" s="10">
        <v>-2</v>
      </c>
      <c r="E46" s="10">
        <v>-2</v>
      </c>
      <c r="F46" s="10">
        <v>-10</v>
      </c>
      <c r="G46" s="10">
        <v>-10</v>
      </c>
      <c r="H46" s="10">
        <v>-4</v>
      </c>
      <c r="I46" s="10">
        <f t="shared" si="1"/>
        <v>0.6100000000000001</v>
      </c>
      <c r="J46" s="10">
        <f t="shared" si="2"/>
        <v>1</v>
      </c>
      <c r="K46" s="10">
        <f t="shared" si="3"/>
        <v>1</v>
      </c>
      <c r="L46" s="10">
        <f t="shared" si="4"/>
        <v>1</v>
      </c>
      <c r="M46" s="11">
        <f t="shared" si="7"/>
        <v>-1</v>
      </c>
      <c r="N46" s="11">
        <f t="shared" si="5"/>
        <v>-1</v>
      </c>
      <c r="O46" s="29">
        <f t="shared" si="6"/>
        <v>-0.01</v>
      </c>
      <c r="P46" s="29">
        <f t="shared" si="6"/>
        <v>0.05</v>
      </c>
      <c r="Q46" s="29">
        <f t="shared" si="6"/>
        <v>0.02</v>
      </c>
      <c r="R46" s="29">
        <f t="shared" si="6"/>
        <v>0.02</v>
      </c>
      <c r="S46" s="29">
        <f t="shared" si="6"/>
        <v>0.1</v>
      </c>
      <c r="T46" s="29">
        <f t="shared" si="6"/>
        <v>0.1</v>
      </c>
      <c r="U46" s="29">
        <f t="shared" si="8"/>
        <v>0.04</v>
      </c>
    </row>
    <row r="47" spans="1:21">
      <c r="A47" s="30">
        <v>40</v>
      </c>
      <c r="B47" s="10">
        <v>-9</v>
      </c>
      <c r="C47" s="10">
        <v>3</v>
      </c>
      <c r="D47" s="10">
        <v>2</v>
      </c>
      <c r="E47" s="10">
        <v>-10</v>
      </c>
      <c r="F47" s="10">
        <v>-6</v>
      </c>
      <c r="G47" s="10">
        <v>-2</v>
      </c>
      <c r="H47" s="10">
        <v>2</v>
      </c>
      <c r="I47" s="10">
        <f t="shared" si="1"/>
        <v>-3.17</v>
      </c>
      <c r="J47" s="10">
        <f t="shared" si="2"/>
        <v>-1</v>
      </c>
      <c r="K47" s="10">
        <f t="shared" si="3"/>
        <v>-1</v>
      </c>
      <c r="L47" s="10">
        <f t="shared" si="4"/>
        <v>-1</v>
      </c>
      <c r="M47" s="11">
        <f t="shared" si="7"/>
        <v>1</v>
      </c>
      <c r="N47" s="11">
        <f t="shared" si="5"/>
        <v>-1</v>
      </c>
      <c r="O47" s="29">
        <f t="shared" si="6"/>
        <v>0.09</v>
      </c>
      <c r="P47" s="29">
        <f t="shared" si="6"/>
        <v>-0.03</v>
      </c>
      <c r="Q47" s="29">
        <f t="shared" si="6"/>
        <v>-0.02</v>
      </c>
      <c r="R47" s="29">
        <f t="shared" si="6"/>
        <v>0.1</v>
      </c>
      <c r="S47" s="29">
        <f t="shared" si="6"/>
        <v>0.06</v>
      </c>
      <c r="T47" s="29">
        <f t="shared" si="6"/>
        <v>0.02</v>
      </c>
      <c r="U47" s="29">
        <f t="shared" si="8"/>
        <v>-0.02</v>
      </c>
    </row>
    <row r="48" spans="1:21">
      <c r="A48" s="30">
        <v>41</v>
      </c>
      <c r="B48" s="10">
        <v>-10</v>
      </c>
      <c r="C48" s="10">
        <v>0</v>
      </c>
      <c r="D48" s="10">
        <v>-5</v>
      </c>
      <c r="E48" s="10">
        <v>-10</v>
      </c>
      <c r="F48" s="10">
        <v>10</v>
      </c>
      <c r="G48" s="10">
        <v>7</v>
      </c>
      <c r="H48" s="10">
        <v>-7</v>
      </c>
      <c r="I48" s="10">
        <f t="shared" si="1"/>
        <v>-4.2700000000000005</v>
      </c>
      <c r="J48" s="10">
        <f t="shared" si="2"/>
        <v>-1</v>
      </c>
      <c r="K48" s="10">
        <f t="shared" si="3"/>
        <v>-1</v>
      </c>
      <c r="L48" s="10">
        <f t="shared" si="4"/>
        <v>-1</v>
      </c>
      <c r="M48" s="11">
        <f t="shared" si="7"/>
        <v>1</v>
      </c>
      <c r="N48" s="11">
        <f t="shared" si="5"/>
        <v>-1</v>
      </c>
      <c r="O48" s="29">
        <f t="shared" si="6"/>
        <v>0.1</v>
      </c>
      <c r="P48" s="29">
        <f t="shared" si="6"/>
        <v>0</v>
      </c>
      <c r="Q48" s="29">
        <f t="shared" si="6"/>
        <v>0.05</v>
      </c>
      <c r="R48" s="29">
        <f t="shared" si="6"/>
        <v>0.1</v>
      </c>
      <c r="S48" s="29">
        <f t="shared" si="6"/>
        <v>-0.1</v>
      </c>
      <c r="T48" s="29">
        <f t="shared" si="6"/>
        <v>-7.0000000000000007E-2</v>
      </c>
      <c r="U48" s="29">
        <f t="shared" si="8"/>
        <v>7.0000000000000007E-2</v>
      </c>
    </row>
    <row r="49" spans="1:21">
      <c r="A49" s="30">
        <v>42</v>
      </c>
      <c r="B49" s="10">
        <v>-1</v>
      </c>
      <c r="C49" s="10">
        <v>1</v>
      </c>
      <c r="D49" s="10">
        <v>4</v>
      </c>
      <c r="E49" s="10">
        <v>0</v>
      </c>
      <c r="F49" s="10">
        <v>10</v>
      </c>
      <c r="G49" s="10">
        <v>-10</v>
      </c>
      <c r="H49" s="10">
        <v>-10</v>
      </c>
      <c r="I49" s="10">
        <f t="shared" si="1"/>
        <v>-1.87</v>
      </c>
      <c r="J49" s="10">
        <f t="shared" si="2"/>
        <v>-1</v>
      </c>
      <c r="K49" s="10">
        <f t="shared" si="3"/>
        <v>-1</v>
      </c>
      <c r="L49" s="10">
        <f t="shared" si="4"/>
        <v>-1</v>
      </c>
      <c r="M49" s="11">
        <f t="shared" si="7"/>
        <v>1</v>
      </c>
      <c r="N49" s="11">
        <f t="shared" si="5"/>
        <v>-1</v>
      </c>
      <c r="O49" s="29">
        <f t="shared" si="6"/>
        <v>0.01</v>
      </c>
      <c r="P49" s="29">
        <f t="shared" si="6"/>
        <v>-0.01</v>
      </c>
      <c r="Q49" s="29">
        <f t="shared" si="6"/>
        <v>-0.04</v>
      </c>
      <c r="R49" s="29">
        <f t="shared" si="6"/>
        <v>0</v>
      </c>
      <c r="S49" s="29">
        <f t="shared" si="6"/>
        <v>-0.1</v>
      </c>
      <c r="T49" s="29">
        <f t="shared" si="6"/>
        <v>0.1</v>
      </c>
      <c r="U49" s="29">
        <f t="shared" si="8"/>
        <v>0.1</v>
      </c>
    </row>
    <row r="50" spans="1:21">
      <c r="A50" s="30">
        <v>43</v>
      </c>
      <c r="B50" s="10">
        <v>5</v>
      </c>
      <c r="C50" s="10">
        <v>-8</v>
      </c>
      <c r="D50" s="10">
        <v>-10</v>
      </c>
      <c r="E50" s="10">
        <v>-7</v>
      </c>
      <c r="F50" s="10">
        <v>-9</v>
      </c>
      <c r="G50" s="10">
        <v>-8</v>
      </c>
      <c r="H50" s="10">
        <v>-10</v>
      </c>
      <c r="I50" s="10">
        <f t="shared" si="1"/>
        <v>0.15000000000000036</v>
      </c>
      <c r="J50" s="10">
        <f t="shared" si="2"/>
        <v>1</v>
      </c>
      <c r="K50" s="10">
        <f t="shared" si="3"/>
        <v>1</v>
      </c>
      <c r="L50" s="10">
        <f t="shared" si="4"/>
        <v>1</v>
      </c>
      <c r="M50" s="11">
        <f t="shared" si="7"/>
        <v>-1</v>
      </c>
      <c r="N50" s="11">
        <f t="shared" si="5"/>
        <v>-1</v>
      </c>
      <c r="O50" s="29">
        <f t="shared" si="6"/>
        <v>-0.05</v>
      </c>
      <c r="P50" s="29">
        <f t="shared" si="6"/>
        <v>0.08</v>
      </c>
      <c r="Q50" s="29">
        <f t="shared" si="6"/>
        <v>0.1</v>
      </c>
      <c r="R50" s="29">
        <f t="shared" si="6"/>
        <v>7.0000000000000007E-2</v>
      </c>
      <c r="S50" s="29">
        <f t="shared" si="6"/>
        <v>0.09</v>
      </c>
      <c r="T50" s="29">
        <f t="shared" si="6"/>
        <v>0.08</v>
      </c>
      <c r="U50" s="29">
        <f t="shared" si="8"/>
        <v>0.1</v>
      </c>
    </row>
    <row r="51" spans="1:21">
      <c r="A51" s="30">
        <v>44</v>
      </c>
      <c r="B51" s="10">
        <v>-2</v>
      </c>
      <c r="C51" s="10">
        <v>-1</v>
      </c>
      <c r="D51" s="10">
        <v>-7</v>
      </c>
      <c r="E51" s="10">
        <v>-10</v>
      </c>
      <c r="F51" s="10">
        <v>-7</v>
      </c>
      <c r="G51" s="10">
        <v>-5</v>
      </c>
      <c r="H51" s="10">
        <v>-10</v>
      </c>
      <c r="I51" s="10">
        <f t="shared" si="1"/>
        <v>-1.8499999999999996</v>
      </c>
      <c r="J51" s="10">
        <f t="shared" si="2"/>
        <v>-1</v>
      </c>
      <c r="K51" s="10">
        <f t="shared" si="3"/>
        <v>-1</v>
      </c>
      <c r="L51" s="10">
        <f t="shared" si="4"/>
        <v>-1</v>
      </c>
      <c r="M51" s="11">
        <f t="shared" si="7"/>
        <v>-1</v>
      </c>
      <c r="N51" s="11">
        <f t="shared" si="5"/>
        <v>-1</v>
      </c>
      <c r="O51" s="29">
        <f t="shared" si="6"/>
        <v>0.02</v>
      </c>
      <c r="P51" s="29">
        <f t="shared" si="6"/>
        <v>0.01</v>
      </c>
      <c r="Q51" s="29">
        <f t="shared" si="6"/>
        <v>7.0000000000000007E-2</v>
      </c>
      <c r="R51" s="29">
        <f t="shared" si="6"/>
        <v>0.1</v>
      </c>
      <c r="S51" s="29">
        <f t="shared" si="6"/>
        <v>7.0000000000000007E-2</v>
      </c>
      <c r="T51" s="29">
        <f t="shared" si="6"/>
        <v>0.05</v>
      </c>
      <c r="U51" s="29">
        <f t="shared" si="8"/>
        <v>0.1</v>
      </c>
    </row>
    <row r="52" spans="1:21">
      <c r="A52" s="30">
        <v>45</v>
      </c>
      <c r="B52" s="10">
        <v>-7</v>
      </c>
      <c r="C52" s="10">
        <v>-10</v>
      </c>
      <c r="D52" s="10">
        <v>-9</v>
      </c>
      <c r="E52" s="10">
        <v>-8</v>
      </c>
      <c r="F52" s="10">
        <v>-8</v>
      </c>
      <c r="G52" s="10">
        <v>-5</v>
      </c>
      <c r="H52" s="10">
        <v>-10</v>
      </c>
      <c r="I52" s="10">
        <f t="shared" si="1"/>
        <v>-1.24</v>
      </c>
      <c r="J52" s="10">
        <f t="shared" si="2"/>
        <v>-1</v>
      </c>
      <c r="K52" s="10">
        <f t="shared" si="3"/>
        <v>-1</v>
      </c>
      <c r="L52" s="10">
        <f t="shared" si="4"/>
        <v>-1</v>
      </c>
      <c r="M52" s="11">
        <f t="shared" si="7"/>
        <v>-1</v>
      </c>
      <c r="N52" s="11">
        <f t="shared" si="5"/>
        <v>-1</v>
      </c>
      <c r="O52" s="29">
        <f t="shared" si="6"/>
        <v>7.0000000000000007E-2</v>
      </c>
      <c r="P52" s="29">
        <f t="shared" si="6"/>
        <v>0.1</v>
      </c>
      <c r="Q52" s="29">
        <f t="shared" si="6"/>
        <v>0.09</v>
      </c>
      <c r="R52" s="29">
        <f t="shared" si="6"/>
        <v>0.08</v>
      </c>
      <c r="S52" s="29">
        <f t="shared" si="6"/>
        <v>0.08</v>
      </c>
      <c r="T52" s="29">
        <f t="shared" si="6"/>
        <v>0.05</v>
      </c>
      <c r="U52" s="29">
        <f t="shared" si="8"/>
        <v>0.1</v>
      </c>
    </row>
    <row r="53" spans="1:21">
      <c r="A53" s="30">
        <v>46</v>
      </c>
      <c r="B53" s="10">
        <v>-10</v>
      </c>
      <c r="C53" s="10">
        <v>10</v>
      </c>
      <c r="D53" s="10">
        <v>3</v>
      </c>
      <c r="E53" s="10">
        <v>-5</v>
      </c>
      <c r="F53" s="10">
        <v>10</v>
      </c>
      <c r="G53" s="10">
        <v>-5</v>
      </c>
      <c r="H53" s="10">
        <v>-10</v>
      </c>
      <c r="I53" s="10">
        <f t="shared" si="1"/>
        <v>-4.41</v>
      </c>
      <c r="J53" s="10">
        <f t="shared" si="2"/>
        <v>-1</v>
      </c>
      <c r="K53" s="10">
        <f t="shared" si="3"/>
        <v>-1</v>
      </c>
      <c r="L53" s="10">
        <f t="shared" si="4"/>
        <v>-1</v>
      </c>
      <c r="M53" s="11">
        <f t="shared" si="7"/>
        <v>1</v>
      </c>
      <c r="N53" s="11">
        <f t="shared" si="5"/>
        <v>-1</v>
      </c>
      <c r="O53" s="29">
        <f t="shared" si="6"/>
        <v>0.1</v>
      </c>
      <c r="P53" s="29">
        <f t="shared" si="6"/>
        <v>-0.1</v>
      </c>
      <c r="Q53" s="29">
        <f t="shared" si="6"/>
        <v>-0.03</v>
      </c>
      <c r="R53" s="29">
        <f t="shared" si="6"/>
        <v>0.05</v>
      </c>
      <c r="S53" s="29">
        <f t="shared" si="6"/>
        <v>-0.1</v>
      </c>
      <c r="T53" s="29">
        <f t="shared" si="6"/>
        <v>0.05</v>
      </c>
      <c r="U53" s="29">
        <f t="shared" si="8"/>
        <v>0.1</v>
      </c>
    </row>
    <row r="54" spans="1:21">
      <c r="A54" s="30">
        <v>47</v>
      </c>
      <c r="B54" s="10">
        <v>-7</v>
      </c>
      <c r="C54" s="10">
        <v>-9</v>
      </c>
      <c r="D54" s="10">
        <v>-4</v>
      </c>
      <c r="E54" s="10">
        <v>-10</v>
      </c>
      <c r="F54" s="10">
        <v>-1</v>
      </c>
      <c r="G54" s="10">
        <v>-8</v>
      </c>
      <c r="H54" s="10">
        <v>-10</v>
      </c>
      <c r="I54" s="10">
        <f t="shared" si="1"/>
        <v>-2.91</v>
      </c>
      <c r="J54" s="10">
        <f t="shared" si="2"/>
        <v>-1</v>
      </c>
      <c r="K54" s="10">
        <f t="shared" si="3"/>
        <v>-1</v>
      </c>
      <c r="L54" s="10">
        <f t="shared" si="4"/>
        <v>-1</v>
      </c>
      <c r="M54" s="11">
        <f t="shared" si="7"/>
        <v>-1</v>
      </c>
      <c r="N54" s="11">
        <f t="shared" si="5"/>
        <v>-1</v>
      </c>
      <c r="O54" s="29">
        <f t="shared" si="6"/>
        <v>7.0000000000000007E-2</v>
      </c>
      <c r="P54" s="29">
        <f t="shared" si="6"/>
        <v>0.09</v>
      </c>
      <c r="Q54" s="29">
        <f t="shared" si="6"/>
        <v>0.04</v>
      </c>
      <c r="R54" s="29">
        <f t="shared" si="6"/>
        <v>0.1</v>
      </c>
      <c r="S54" s="29">
        <f t="shared" si="6"/>
        <v>0.01</v>
      </c>
      <c r="T54" s="29">
        <f t="shared" si="6"/>
        <v>0.08</v>
      </c>
      <c r="U54" s="29">
        <f t="shared" si="8"/>
        <v>0.1</v>
      </c>
    </row>
    <row r="55" spans="1:21">
      <c r="A55" s="30">
        <v>48</v>
      </c>
      <c r="B55" s="10">
        <v>-8</v>
      </c>
      <c r="C55" s="10">
        <v>-6</v>
      </c>
      <c r="D55" s="10">
        <v>-9</v>
      </c>
      <c r="E55" s="10">
        <v>-9</v>
      </c>
      <c r="F55" s="10">
        <v>10</v>
      </c>
      <c r="G55" s="10">
        <v>-1</v>
      </c>
      <c r="H55" s="10">
        <v>-7</v>
      </c>
      <c r="I55" s="10">
        <f t="shared" si="1"/>
        <v>-4.2</v>
      </c>
      <c r="J55" s="10">
        <f t="shared" si="2"/>
        <v>-1</v>
      </c>
      <c r="K55" s="10">
        <f t="shared" si="3"/>
        <v>-1</v>
      </c>
      <c r="L55" s="10">
        <f t="shared" si="4"/>
        <v>-1</v>
      </c>
      <c r="M55" s="11">
        <f t="shared" si="7"/>
        <v>1</v>
      </c>
      <c r="N55" s="11">
        <f t="shared" si="5"/>
        <v>-1</v>
      </c>
      <c r="O55" s="29">
        <f t="shared" si="6"/>
        <v>0.08</v>
      </c>
      <c r="P55" s="29">
        <f t="shared" si="6"/>
        <v>0.06</v>
      </c>
      <c r="Q55" s="29">
        <f t="shared" si="6"/>
        <v>0.09</v>
      </c>
      <c r="R55" s="29">
        <f t="shared" si="6"/>
        <v>0.09</v>
      </c>
      <c r="S55" s="29">
        <f t="shared" si="6"/>
        <v>-0.1</v>
      </c>
      <c r="T55" s="29">
        <f t="shared" si="6"/>
        <v>0.01</v>
      </c>
      <c r="U55" s="29">
        <f t="shared" si="8"/>
        <v>7.0000000000000007E-2</v>
      </c>
    </row>
    <row r="56" spans="1:21">
      <c r="A56" s="30">
        <v>49</v>
      </c>
      <c r="B56" s="10">
        <v>-10</v>
      </c>
      <c r="C56" s="10">
        <v>-3</v>
      </c>
      <c r="D56" s="10">
        <v>3</v>
      </c>
      <c r="E56" s="10">
        <v>-5</v>
      </c>
      <c r="F56" s="10">
        <v>-1</v>
      </c>
      <c r="G56" s="10">
        <v>-2</v>
      </c>
      <c r="H56" s="10">
        <v>2</v>
      </c>
      <c r="I56" s="10">
        <f t="shared" si="1"/>
        <v>-2.29</v>
      </c>
      <c r="J56" s="10">
        <f t="shared" si="2"/>
        <v>-1</v>
      </c>
      <c r="K56" s="10">
        <f t="shared" si="3"/>
        <v>-1</v>
      </c>
      <c r="L56" s="10">
        <f t="shared" si="4"/>
        <v>-1</v>
      </c>
      <c r="M56" s="11">
        <f t="shared" si="7"/>
        <v>1</v>
      </c>
      <c r="N56" s="11">
        <f t="shared" si="5"/>
        <v>-1</v>
      </c>
      <c r="O56" s="29">
        <f t="shared" si="6"/>
        <v>0.1</v>
      </c>
      <c r="P56" s="29">
        <f t="shared" si="6"/>
        <v>0.03</v>
      </c>
      <c r="Q56" s="29">
        <f t="shared" si="6"/>
        <v>-0.03</v>
      </c>
      <c r="R56" s="29">
        <f t="shared" si="6"/>
        <v>0.05</v>
      </c>
      <c r="S56" s="29">
        <f t="shared" si="6"/>
        <v>0.01</v>
      </c>
      <c r="T56" s="29">
        <f t="shared" si="6"/>
        <v>0.02</v>
      </c>
      <c r="U56" s="29">
        <f t="shared" si="8"/>
        <v>-0.02</v>
      </c>
    </row>
    <row r="57" spans="1:21">
      <c r="A57" s="30">
        <v>50</v>
      </c>
      <c r="B57" s="10">
        <v>1</v>
      </c>
      <c r="C57" s="10">
        <v>-5</v>
      </c>
      <c r="D57" s="10">
        <v>-2</v>
      </c>
      <c r="E57" s="10">
        <v>-2</v>
      </c>
      <c r="F57" s="10">
        <v>-10</v>
      </c>
      <c r="G57" s="10">
        <v>-10</v>
      </c>
      <c r="H57" s="10">
        <v>-4</v>
      </c>
      <c r="I57" s="10">
        <f t="shared" si="1"/>
        <v>0.6100000000000001</v>
      </c>
      <c r="J57" s="10">
        <f t="shared" si="2"/>
        <v>1</v>
      </c>
      <c r="K57" s="10">
        <f t="shared" si="3"/>
        <v>1</v>
      </c>
      <c r="L57" s="10">
        <f t="shared" si="4"/>
        <v>1</v>
      </c>
      <c r="M57" s="11">
        <f t="shared" si="7"/>
        <v>1</v>
      </c>
      <c r="N57" s="11">
        <f t="shared" si="5"/>
        <v>-1</v>
      </c>
      <c r="O57" s="29">
        <f t="shared" si="6"/>
        <v>-0.01</v>
      </c>
      <c r="P57" s="29">
        <f t="shared" si="6"/>
        <v>0.05</v>
      </c>
      <c r="Q57" s="29">
        <f t="shared" si="6"/>
        <v>0.02</v>
      </c>
      <c r="R57" s="29">
        <f t="shared" si="6"/>
        <v>0.02</v>
      </c>
      <c r="S57" s="29">
        <f t="shared" si="6"/>
        <v>0.1</v>
      </c>
      <c r="T57" s="29">
        <f t="shared" si="6"/>
        <v>0.1</v>
      </c>
      <c r="U57" s="29">
        <f t="shared" si="8"/>
        <v>0.04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2025-11-24T23:40:53Z</dcterms:created>
  <dcterms:modified xsi:type="dcterms:W3CDTF">2025-12-02T20:24:28Z</dcterms:modified>
  <cp:category/>
  <cp:contentStatus/>
</cp:coreProperties>
</file>